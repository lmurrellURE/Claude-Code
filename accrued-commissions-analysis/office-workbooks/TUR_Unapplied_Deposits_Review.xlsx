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Items" sheetId="2" state="visible" r:id="rId4"/>
    <sheet name="Settings" sheetId="3" state="visible" r:id="rId5"/>
  </sheets>
  <definedNames>
    <definedName function="false" hidden="true" localSheetId="1" name="_xlnm._FilterDatabase" vbProcedure="false">Items!$A$5:$W$55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<sst xmlns="http://schemas.openxmlformats.org/spreadsheetml/2006/main" count="174" uniqueCount="165">
  <si>
    <t xml:space="preserve">Unapplied deposits review - Texas United Realty</t>
  </si>
  <si>
    <t xml:space="preserve">Prepared 10/6/2026 by Financial Reporting and Analysis. Please complete the yellow columns on the Items tab and return the workbook by the date on the Settings tab.</t>
  </si>
  <si>
    <t xml:space="preserve">What this is</t>
  </si>
  <si>
    <t xml:space="preserve">We are holding money from closings that was never matched to a transaction. Some of it belongs to agents or to the people who sent it, and state law says that after a set number of years we must either pay it to them or hand it to the state. Once a year, in December, Financial Reporting and Analysis finds the items that have reached that point and clears them; everything younger keeps being matched as usual.</t>
  </si>
  <si>
    <t xml:space="preserve">Why it matters</t>
  </si>
  <si>
    <t xml:space="preserve">This money belongs to our agents and the people who sent it. Every state we operate in can audit ten years back and charge interest and penalties on anything held past its deadline, and the only thing that gets those waived is showing we had a written process, ran it on schedule and filed on time.</t>
  </si>
  <si>
    <t xml:space="preserve">What we need from you</t>
  </si>
  <si>
    <t xml:space="preserve">1. Work the Items tab oldest first. Priority 1 items are already past the threshold; Priority 2 items will reach it by the next state cutoff. Do those first, then the rest as time allows.</t>
  </si>
  <si>
    <t xml:space="preserve">2. For each item, find the transaction in Paperless Pipeline and enter the file number, property address and closing date.</t>
  </si>
  <si>
    <t xml:space="preserve">3. Enter the agent's name and last-known mailing address (city and state). The state matters: it can change which state's rules apply.</t>
  </si>
  <si>
    <t xml:space="preserve">4. Enter the split from the Disbursement Authorization or Closing Disclosure: company fee, E&amp;O, agent share. If the document cannot be found, leave the split blank and say so in Notes; the Director will estimate it as the check less the standard fee.</t>
  </si>
  <si>
    <t xml:space="preserve">5. If the money is not ours (wrong office, duplicate, unknown), enter the amount to refund in the Refund column and name who it goes back to in Notes.</t>
  </si>
  <si>
    <t xml:space="preserve">6. Pick a Status for every item and attach or link the supporting document. The Check column must read 0.00 once the split is entered.</t>
  </si>
  <si>
    <t xml:space="preserve">What not to do</t>
  </si>
  <si>
    <t xml:space="preserve">Do not pay an agent, refund a payer, or write anything off from this list. Financial Reporting and Analysis makes every entry after the review. Do not delete rows; mark the Status instead. Items already booked in Sage since the extract date: set Status to 'Already booked in Sage' and give the date.</t>
  </si>
  <si>
    <t xml:space="preserve">The rule applied to this office</t>
  </si>
  <si>
    <t xml:space="preserve">The holder entity for this office was formed in Texas, so Texas rules apply where the agent's address is unknown: 3 years from the deposit date. The next Texas report cutoff is 03/01/2027.</t>
  </si>
  <si>
    <t xml:space="preserve">Fee amounts for this office, for reference: United plan $595/$995 plus $49 E&amp;O; legacy plan $150/$250/$350/$450 by commission size, $60 lease, $179 annual. A check at exactly a fee amount is the company's fee and needs no agent split; confirm it and set Status to 'Company fee - confirmed'.</t>
  </si>
  <si>
    <t xml:space="preserve">Questions: Director of Financial Reporting and Analysis.</t>
  </si>
  <si>
    <t xml:space="preserve">Texas United Realty - unapplied deposits as of 10/06/2026</t>
  </si>
  <si>
    <t xml:space="preserve">Columns A-F come from the cash requirements workbook. G-I are formulas. Yellow columns J-W are for the office to complete. Priority: 1 = past the dormancy threshold today; 2 = reaches it by the next state cutoff; 3 = not yet.</t>
  </si>
  <si>
    <t xml:space="preserve">As-of date</t>
  </si>
  <si>
    <t xml:space="preserve">Period (yrs)</t>
  </si>
  <si>
    <t xml:space="preserve">Next cutoff</t>
  </si>
  <si>
    <t xml:space="preserve">#</t>
  </si>
  <si>
    <t xml:space="preserve">Deposit date</t>
  </si>
  <si>
    <t xml:space="preserve">Check #</t>
  </si>
  <si>
    <t xml:space="preserve">Payer / check writer</t>
  </si>
  <si>
    <t xml:space="preserve">Amount</t>
  </si>
  <si>
    <t xml:space="preserve">Memo from cash workbook</t>
  </si>
  <si>
    <t xml:space="preserve">Age (yrs)</t>
  </si>
  <si>
    <t xml:space="preserve">Dormant on</t>
  </si>
  <si>
    <t xml:space="preserve">Priority</t>
  </si>
  <si>
    <t xml:space="preserve">Paperless Pipeline file / transaction #</t>
  </si>
  <si>
    <t xml:space="preserve">Property address</t>
  </si>
  <si>
    <t xml:space="preserve">Closing date</t>
  </si>
  <si>
    <t xml:space="preserve">Agent name</t>
  </si>
  <si>
    <t xml:space="preserve">Agent last-known mailing address (city, state)</t>
  </si>
  <si>
    <t xml:space="preserve">Agent address state (2 letters)</t>
  </si>
  <si>
    <t xml:space="preserve">Company fee $</t>
  </si>
  <si>
    <t xml:space="preserve">E&amp;O $</t>
  </si>
  <si>
    <t xml:space="preserve">Agent share $</t>
  </si>
  <si>
    <t xml:space="preserve">Refund to payer $ (not ours)</t>
  </si>
  <si>
    <t xml:space="preserve">Check (should be 0.00)</t>
  </si>
  <si>
    <t xml:space="preserve">Supporting document</t>
  </si>
  <si>
    <t xml:space="preserve">Status</t>
  </si>
  <si>
    <t xml:space="preserve">Notes</t>
  </si>
  <si>
    <t xml:space="preserve">64427</t>
  </si>
  <si>
    <t xml:space="preserve">Stewart Title Company</t>
  </si>
  <si>
    <t xml:space="preserve">1791141</t>
  </si>
  <si>
    <t xml:space="preserve">43756</t>
  </si>
  <si>
    <t xml:space="preserve">WPG National Title</t>
  </si>
  <si>
    <t xml:space="preserve">23-121431</t>
  </si>
  <si>
    <t xml:space="preserve">10458</t>
  </si>
  <si>
    <t xml:space="preserve">Partners Title Company</t>
  </si>
  <si>
    <t xml:space="preserve">Order # WL-7199</t>
  </si>
  <si>
    <t xml:space="preserve">518005123</t>
  </si>
  <si>
    <t xml:space="preserve">? Couldn't locate</t>
  </si>
  <si>
    <t xml:space="preserve">526070032</t>
  </si>
  <si>
    <t xml:space="preserve">Alamo Title Company</t>
  </si>
  <si>
    <t xml:space="preserve">393737</t>
  </si>
  <si>
    <t xml:space="preserve">LM - Believe this transaction got processed as TC, but we owed Renee Meals the payment</t>
  </si>
  <si>
    <t xml:space="preserve">6110 Marble Hollow Ln</t>
  </si>
  <si>
    <t xml:space="preserve">43891</t>
  </si>
  <si>
    <t xml:space="preserve">Botts Title</t>
  </si>
  <si>
    <t xml:space="preserve">1130</t>
  </si>
  <si>
    <t xml:space="preserve">Dunbar Development LLC</t>
  </si>
  <si>
    <t xml:space="preserve">19736 Dunbar Ave </t>
  </si>
  <si>
    <t xml:space="preserve">518006144</t>
  </si>
  <si>
    <t xml:space="preserve">Fidelity National Title Agency</t>
  </si>
  <si>
    <t xml:space="preserve">2269</t>
  </si>
  <si>
    <t xml:space="preserve">Wynnewood at Wortham APTS</t>
  </si>
  <si>
    <t xml:space="preserve">120455</t>
  </si>
  <si>
    <t xml:space="preserve">Exp Realty</t>
  </si>
  <si>
    <t xml:space="preserve">2027</t>
  </si>
  <si>
    <t xml:space="preserve">Harper Property Management</t>
  </si>
  <si>
    <t xml:space="preserve">1037</t>
  </si>
  <si>
    <t xml:space="preserve">518006434</t>
  </si>
  <si>
    <t xml:space="preserve">518006479</t>
  </si>
  <si>
    <t xml:space="preserve">23210</t>
  </si>
  <si>
    <t xml:space="preserve">Stratos Title</t>
  </si>
  <si>
    <t xml:space="preserve">23246</t>
  </si>
  <si>
    <t xml:space="preserve">125437</t>
  </si>
  <si>
    <t xml:space="preserve">DHI Title</t>
  </si>
  <si>
    <t xml:space="preserve">2085</t>
  </si>
  <si>
    <t xml:space="preserve">Ranch at City Park Apts</t>
  </si>
  <si>
    <t xml:space="preserve">2599</t>
  </si>
  <si>
    <t xml:space="preserve">3203 Ladera Creek Ct</t>
  </si>
  <si>
    <t xml:space="preserve">779</t>
  </si>
  <si>
    <t xml:space="preserve">Full check for $2149.00</t>
  </si>
  <si>
    <t xml:space="preserve">132999</t>
  </si>
  <si>
    <t xml:space="preserve">575018277</t>
  </si>
  <si>
    <t xml:space="preserve">Texas American Title Company</t>
  </si>
  <si>
    <t xml:space="preserve">File # 2757524-06317</t>
  </si>
  <si>
    <t xml:space="preserve">33174</t>
  </si>
  <si>
    <t xml:space="preserve">c. Drake 7026 Chershire Park</t>
  </si>
  <si>
    <t xml:space="preserve">100014</t>
  </si>
  <si>
    <t xml:space="preserve">7709 Independence St</t>
  </si>
  <si>
    <t xml:space="preserve">6050</t>
  </si>
  <si>
    <t xml:space="preserve">StressFree Property Solutions</t>
  </si>
  <si>
    <t xml:space="preserve">140657</t>
  </si>
  <si>
    <t xml:space="preserve">Riverway Title</t>
  </si>
  <si>
    <t xml:space="preserve">File No 241599Z1-KI-KLD</t>
  </si>
  <si>
    <t xml:space="preserve">136236</t>
  </si>
  <si>
    <t xml:space="preserve">DHI Tlitle Agency</t>
  </si>
  <si>
    <t xml:space="preserve">5012</t>
  </si>
  <si>
    <t xml:space="preserve">Shortage Correction</t>
  </si>
  <si>
    <t xml:space="preserve">2565</t>
  </si>
  <si>
    <t xml:space="preserve">140</t>
  </si>
  <si>
    <t xml:space="preserve">11822 Rowan Agent: Flor Gonzales</t>
  </si>
  <si>
    <t xml:space="preserve">trn 12/6/24</t>
  </si>
  <si>
    <t xml:space="preserve">140502</t>
  </si>
  <si>
    <t xml:space="preserve">trn 2/7/2025</t>
  </si>
  <si>
    <t xml:space="preserve">13217 Dalvay Beach Drive</t>
  </si>
  <si>
    <t xml:space="preserve">7219531668</t>
  </si>
  <si>
    <t xml:space="preserve">AvidXchange, Inc</t>
  </si>
  <si>
    <t xml:space="preserve">17626</t>
  </si>
  <si>
    <t xml:space="preserve">1414 Antoine</t>
  </si>
  <si>
    <t xml:space="preserve">799900</t>
  </si>
  <si>
    <t xml:space="preserve">6850404661</t>
  </si>
  <si>
    <t xml:space="preserve">217000</t>
  </si>
  <si>
    <t xml:space="preserve">Olympus/Nelson Property Mgmt</t>
  </si>
  <si>
    <t xml:space="preserve">1010</t>
  </si>
  <si>
    <t xml:space="preserve">West Houston Property Management LLC</t>
  </si>
  <si>
    <t xml:space="preserve">2413 Anita St</t>
  </si>
  <si>
    <t xml:space="preserve">154666</t>
  </si>
  <si>
    <t xml:space="preserve">Inspired Title Services, LLC</t>
  </si>
  <si>
    <t xml:space="preserve">Commissions</t>
  </si>
  <si>
    <t xml:space="preserve">103233</t>
  </si>
  <si>
    <t xml:space="preserve">Skyline Title, LLC</t>
  </si>
  <si>
    <t xml:space="preserve">2120 El Paseo St Unit 2106 Houston TX 77054</t>
  </si>
  <si>
    <t xml:space="preserve">921264804</t>
  </si>
  <si>
    <t xml:space="preserve">Chase Check</t>
  </si>
  <si>
    <t xml:space="preserve">9435127468</t>
  </si>
  <si>
    <t xml:space="preserve">Chase Money Order - Wyatt Bingham</t>
  </si>
  <si>
    <t xml:space="preserve">10432 Hammerly</t>
  </si>
  <si>
    <t xml:space="preserve">674363</t>
  </si>
  <si>
    <t xml:space="preserve">Amegy Bank Cashier's check - John Snyder</t>
  </si>
  <si>
    <t xml:space="preserve">233686</t>
  </si>
  <si>
    <t xml:space="preserve">CarefreeTitle Agency</t>
  </si>
  <si>
    <t xml:space="preserve">2523 Paloverde Canyon Court</t>
  </si>
  <si>
    <t xml:space="preserve">Money Order</t>
  </si>
  <si>
    <t xml:space="preserve">Possibly 559 Bissonnet St</t>
  </si>
  <si>
    <t xml:space="preserve">22922</t>
  </si>
  <si>
    <t xml:space="preserve">Latoya M Johnston - Navy Federal credit Union Cashier's Check</t>
  </si>
  <si>
    <t xml:space="preserve">1509</t>
  </si>
  <si>
    <t xml:space="preserve">L2 Uptown</t>
  </si>
  <si>
    <t xml:space="preserve">10421</t>
  </si>
  <si>
    <t xml:space="preserve">Acrisure Title</t>
  </si>
  <si>
    <t xml:space="preserve">TOTAL</t>
  </si>
  <si>
    <t xml:space="preserve">Priority 1 items</t>
  </si>
  <si>
    <t xml:space="preserve">Priority 2 items</t>
  </si>
  <si>
    <t xml:space="preserve">Items with a Status entered</t>
  </si>
  <si>
    <t xml:space="preserve">Settings - Texas United Realty</t>
  </si>
  <si>
    <t xml:space="preserve">Office</t>
  </si>
  <si>
    <t xml:space="preserve">Texas United Realty</t>
  </si>
  <si>
    <t xml:space="preserve">Holder entity governing state (LLC formation state)</t>
  </si>
  <si>
    <t xml:space="preserve">TX</t>
  </si>
  <si>
    <t xml:space="preserve">Dormancy period applied (years, adopted 10/6/2026)</t>
  </si>
  <si>
    <t xml:space="preserve">Next state report cutoff</t>
  </si>
  <si>
    <t xml:space="preserve">As-of date for ages</t>
  </si>
  <si>
    <t xml:space="preserve">Return completed workbook by</t>
  </si>
  <si>
    <t xml:space="preserve">Office fee schedule (reference)</t>
  </si>
  <si>
    <t xml:space="preserve">United plan $595/$995 plus $49 E&amp;O; legacy plan $150/$250/$350/$450 by commission size, $60 lease, $179 annual</t>
  </si>
  <si>
    <t xml:space="preserve">Do not change rows 3-6; they come from the company's unclaimed property policy. Row 7 re-ages every item; row 8 is for the Director to set before sending.</t>
  </si>
</sst>
</file>

<file path=xl/styles.xml><?xml version="1.0" encoding="utf-8"?>
<styleSheet xmlns="http://schemas.openxmlformats.org/spreadsheetml/2006/main">
  <numFmts count="4">
    <numFmt numFmtId="164" formatCode="General"/>
    <numFmt numFmtId="165" formatCode="mm/dd/yyyy"/>
    <numFmt numFmtId="166" formatCode="\$#,##0.00;&quot;($&quot;#,##0.00\);\-"/>
    <numFmt numFmtId="167" formatCode="0.0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D9E1F2"/>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6" fontId="6" fillId="4"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fgColor rgb="FFF8CBAD"/>
          <bgColor rgb="FF000000"/>
        </patternFill>
      </fill>
    </dxf>
    <dxf>
      <fill>
        <patternFill patternType="solid">
          <fgColor rgb="FFFFE699"/>
          <bgColor rgb="FF000000"/>
        </patternFill>
      </fill>
    </dxf>
    <dxf>
      <fill>
        <patternFill patternType="solid">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0000FF"/>
          <bgColor rgb="FF000000"/>
        </patternFill>
      </fill>
    </dxf>
    <dxf>
      <fill>
        <patternFill>
          <bgColor rgb="FFF8CBAD"/>
        </patternFill>
      </fill>
    </dxf>
    <dxf>
      <fill>
        <patternFill>
          <bgColor rgb="FFFFE69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6"/>
  </cols>
  <sheetData>
    <row r="1" customFormat="false" ht="17.35" hidden="false" customHeight="false" outlineLevel="0" collapsed="false">
      <c r="A1" s="1" t="s">
        <v>0</v>
      </c>
    </row>
    <row r="2" customFormat="false" ht="30" hidden="false" customHeight="true" outlineLevel="0" collapsed="false">
      <c r="A2" s="2" t="s">
        <v>1</v>
      </c>
      <c r="B2" s="2"/>
      <c r="C2" s="2"/>
      <c r="D2" s="2"/>
      <c r="E2" s="2"/>
      <c r="F2" s="2"/>
      <c r="G2" s="2"/>
      <c r="H2" s="2"/>
    </row>
    <row r="4" customFormat="false" ht="15.75" hidden="false" customHeight="true" outlineLevel="0" collapsed="false">
      <c r="A4" s="3" t="s">
        <v>2</v>
      </c>
      <c r="B4" s="3"/>
      <c r="C4" s="3"/>
      <c r="D4" s="3"/>
      <c r="E4" s="3"/>
      <c r="F4" s="3"/>
      <c r="G4" s="3"/>
      <c r="H4" s="3"/>
    </row>
    <row r="5" customFormat="false" ht="45.75" hidden="false" customHeight="true" outlineLevel="0" collapsed="false">
      <c r="A5" s="2" t="s">
        <v>3</v>
      </c>
      <c r="B5" s="2"/>
      <c r="C5" s="2"/>
      <c r="D5" s="2"/>
      <c r="E5" s="2"/>
      <c r="F5" s="2"/>
      <c r="G5" s="2"/>
      <c r="H5" s="2"/>
    </row>
    <row r="6" customFormat="false" ht="15.75" hidden="false" customHeight="true" outlineLevel="0" collapsed="false">
      <c r="A6" s="3" t="s">
        <v>4</v>
      </c>
      <c r="B6" s="3"/>
      <c r="C6" s="3"/>
      <c r="D6" s="3"/>
      <c r="E6" s="3"/>
      <c r="F6" s="3"/>
      <c r="G6" s="3"/>
      <c r="H6" s="3"/>
    </row>
    <row r="7" customFormat="false" ht="45.75" hidden="false" customHeight="true" outlineLevel="0" collapsed="false">
      <c r="A7" s="2" t="s">
        <v>5</v>
      </c>
      <c r="B7" s="2"/>
      <c r="C7" s="2"/>
      <c r="D7" s="2"/>
      <c r="E7" s="2"/>
      <c r="F7" s="2"/>
      <c r="G7" s="2"/>
      <c r="H7" s="2"/>
    </row>
    <row r="8" customFormat="false" ht="15.75" hidden="false" customHeight="true" outlineLevel="0" collapsed="false">
      <c r="A8" s="3" t="s">
        <v>6</v>
      </c>
      <c r="B8" s="3"/>
      <c r="C8" s="3"/>
      <c r="D8" s="3"/>
      <c r="E8" s="3"/>
      <c r="F8" s="3"/>
      <c r="G8" s="3"/>
      <c r="H8" s="3"/>
    </row>
    <row r="9" customFormat="false" ht="45.75" hidden="false" customHeight="true" outlineLevel="0" collapsed="false">
      <c r="A9" s="2" t="s">
        <v>7</v>
      </c>
      <c r="B9" s="2"/>
      <c r="C9" s="2"/>
      <c r="D9" s="2"/>
      <c r="E9" s="2"/>
      <c r="F9" s="2"/>
      <c r="G9" s="2"/>
      <c r="H9" s="2"/>
    </row>
    <row r="10" customFormat="false" ht="30" hidden="false" customHeight="true" outlineLevel="0" collapsed="false">
      <c r="A10" s="2" t="s">
        <v>8</v>
      </c>
      <c r="B10" s="2"/>
      <c r="C10" s="2"/>
      <c r="D10" s="2"/>
      <c r="E10" s="2"/>
      <c r="F10" s="2"/>
      <c r="G10" s="2"/>
      <c r="H10" s="2"/>
    </row>
    <row r="11" customFormat="false" ht="30" hidden="false" customHeight="true" outlineLevel="0" collapsed="false">
      <c r="A11" s="2" t="s">
        <v>9</v>
      </c>
      <c r="B11" s="2"/>
      <c r="C11" s="2"/>
      <c r="D11" s="2"/>
      <c r="E11" s="2"/>
      <c r="F11" s="2"/>
      <c r="G11" s="2"/>
      <c r="H11" s="2"/>
    </row>
    <row r="12" customFormat="false" ht="45.75" hidden="false" customHeight="true" outlineLevel="0" collapsed="false">
      <c r="A12" s="2" t="s">
        <v>10</v>
      </c>
      <c r="B12" s="2"/>
      <c r="C12" s="2"/>
      <c r="D12" s="2"/>
      <c r="E12" s="2"/>
      <c r="F12" s="2"/>
      <c r="G12" s="2"/>
      <c r="H12" s="2"/>
    </row>
    <row r="13" customFormat="false" ht="30" hidden="false" customHeight="true" outlineLevel="0" collapsed="false">
      <c r="A13" s="2" t="s">
        <v>11</v>
      </c>
      <c r="B13" s="2"/>
      <c r="C13" s="2"/>
      <c r="D13" s="2"/>
      <c r="E13" s="2"/>
      <c r="F13" s="2"/>
      <c r="G13" s="2"/>
      <c r="H13" s="2"/>
    </row>
    <row r="14" customFormat="false" ht="30" hidden="false" customHeight="true" outlineLevel="0" collapsed="false">
      <c r="A14" s="2" t="s">
        <v>12</v>
      </c>
      <c r="B14" s="2"/>
      <c r="C14" s="2"/>
      <c r="D14" s="2"/>
      <c r="E14" s="2"/>
      <c r="F14" s="2"/>
      <c r="G14" s="2"/>
      <c r="H14" s="2"/>
    </row>
    <row r="15" customFormat="false" ht="15.75" hidden="false" customHeight="true" outlineLevel="0" collapsed="false">
      <c r="A15" s="3" t="s">
        <v>13</v>
      </c>
      <c r="B15" s="3"/>
      <c r="C15" s="3"/>
      <c r="D15" s="3"/>
      <c r="E15" s="3"/>
      <c r="F15" s="3"/>
      <c r="G15" s="3"/>
      <c r="H15" s="3"/>
    </row>
    <row r="16" customFormat="false" ht="45.75" hidden="false" customHeight="true" outlineLevel="0" collapsed="false">
      <c r="A16" s="2" t="s">
        <v>14</v>
      </c>
      <c r="B16" s="2"/>
      <c r="C16" s="2"/>
      <c r="D16" s="2"/>
      <c r="E16" s="2"/>
      <c r="F16" s="2"/>
      <c r="G16" s="2"/>
      <c r="H16" s="2"/>
    </row>
    <row r="17" customFormat="false" ht="15.75" hidden="false" customHeight="true" outlineLevel="0" collapsed="false">
      <c r="A17" s="3" t="s">
        <v>15</v>
      </c>
      <c r="B17" s="3"/>
      <c r="C17" s="3"/>
      <c r="D17" s="3"/>
      <c r="E17" s="3"/>
      <c r="F17" s="3"/>
      <c r="G17" s="3"/>
      <c r="H17" s="3"/>
    </row>
    <row r="18" customFormat="false" ht="45.75" hidden="false" customHeight="true" outlineLevel="0" collapsed="false">
      <c r="A18" s="2" t="s">
        <v>16</v>
      </c>
      <c r="B18" s="2"/>
      <c r="C18" s="2"/>
      <c r="D18" s="2"/>
      <c r="E18" s="2"/>
      <c r="F18" s="2"/>
      <c r="G18" s="2"/>
      <c r="H18" s="2"/>
    </row>
    <row r="19" customFormat="false" ht="45.75" hidden="false" customHeight="true" outlineLevel="0" collapsed="false">
      <c r="A19" s="2" t="s">
        <v>17</v>
      </c>
      <c r="B19" s="2"/>
      <c r="C19" s="2"/>
      <c r="D19" s="2"/>
      <c r="E19" s="2"/>
      <c r="F19" s="2"/>
      <c r="G19" s="2"/>
      <c r="H19" s="2"/>
    </row>
    <row r="20" customFormat="false" ht="30" hidden="false" customHeight="true" outlineLevel="0" collapsed="false">
      <c r="A20" s="2" t="s">
        <v>18</v>
      </c>
      <c r="B20" s="2"/>
      <c r="C20" s="2"/>
      <c r="D20" s="2"/>
      <c r="E20" s="2"/>
      <c r="F20" s="2"/>
      <c r="G20" s="2"/>
      <c r="H20" s="2"/>
    </row>
  </sheetData>
  <mergeCells count="18">
    <mergeCell ref="A2:H2"/>
    <mergeCell ref="A4:H4"/>
    <mergeCell ref="A5:H5"/>
    <mergeCell ref="A6:H6"/>
    <mergeCell ref="A7:H7"/>
    <mergeCell ref="A8:H8"/>
    <mergeCell ref="A9:H9"/>
    <mergeCell ref="A10:H10"/>
    <mergeCell ref="A11:H11"/>
    <mergeCell ref="A12:H12"/>
    <mergeCell ref="A13:H13"/>
    <mergeCell ref="A14:H14"/>
    <mergeCell ref="A15:H1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10"/>
    <col collapsed="false" customWidth="true" hidden="false" outlineLevel="0" max="4" min="4" style="0" width="28"/>
    <col collapsed="false" customWidth="true" hidden="false" outlineLevel="0" max="5" min="5" style="0" width="12"/>
    <col collapsed="false" customWidth="true" hidden="false" outlineLevel="0" max="6" min="6" style="0" width="45"/>
    <col collapsed="false" customWidth="true" hidden="false" outlineLevel="0" max="7" min="7" style="0" width="8"/>
    <col collapsed="false" customWidth="true" hidden="false" outlineLevel="0" max="8" min="8" style="0" width="11"/>
    <col collapsed="false" customWidth="true" hidden="false" outlineLevel="0" max="9" min="9" style="0" width="30"/>
    <col collapsed="false" customWidth="true" hidden="false" outlineLevel="0" max="10" min="10" style="0" width="20"/>
    <col collapsed="false" customWidth="true" hidden="false" outlineLevel="0" max="11" min="11" style="0" width="28"/>
    <col collapsed="false" customWidth="true" hidden="false" outlineLevel="0" max="12" min="12" style="0" width="11"/>
    <col collapsed="false" customWidth="true" hidden="false" outlineLevel="0" max="13" min="13" style="0" width="22"/>
    <col collapsed="false" customWidth="true" hidden="false" outlineLevel="0" max="14" min="14" style="0" width="30"/>
    <col collapsed="false" customWidth="true" hidden="false" outlineLevel="0" max="15" min="15" style="0" width="9"/>
    <col collapsed="false" customWidth="true" hidden="false" outlineLevel="0" max="16" min="16" style="0" width="12"/>
    <col collapsed="false" customWidth="true" hidden="false" outlineLevel="0" max="17" min="17" style="0" width="10"/>
    <col collapsed="false" customWidth="true" hidden="false" outlineLevel="0" max="18" min="18" style="0" width="12"/>
    <col collapsed="false" customWidth="true" hidden="false" outlineLevel="0" max="19" min="19" style="0" width="14"/>
    <col collapsed="false" customWidth="true" hidden="false" outlineLevel="0" max="20" min="20" style="0" width="12"/>
    <col collapsed="false" customWidth="true" hidden="false" outlineLevel="0" max="21" min="21" style="0" width="18"/>
    <col collapsed="false" customWidth="true" hidden="false" outlineLevel="0" max="22" min="22" style="0" width="26"/>
    <col collapsed="false" customWidth="true" hidden="false" outlineLevel="0" max="23" min="23" style="0" width="40"/>
  </cols>
  <sheetData>
    <row r="1" customFormat="false" ht="17.35" hidden="false" customHeight="false" outlineLevel="0" collapsed="false">
      <c r="A1" s="1" t="s">
        <v>19</v>
      </c>
    </row>
    <row r="2" customFormat="false" ht="30" hidden="false" customHeight="true" outlineLevel="0" collapsed="false">
      <c r="A2" s="2" t="s">
        <v>20</v>
      </c>
      <c r="B2" s="2"/>
      <c r="C2" s="2"/>
      <c r="D2" s="2"/>
      <c r="E2" s="2"/>
      <c r="F2" s="2"/>
      <c r="G2" s="2"/>
      <c r="H2" s="2"/>
      <c r="I2" s="2"/>
      <c r="J2" s="2"/>
      <c r="K2" s="2"/>
      <c r="L2" s="2"/>
      <c r="M2" s="2"/>
      <c r="N2" s="2"/>
      <c r="O2" s="2"/>
      <c r="P2" s="2"/>
      <c r="Q2" s="2"/>
      <c r="R2" s="2"/>
      <c r="S2" s="2"/>
      <c r="T2" s="2"/>
      <c r="U2" s="2"/>
      <c r="V2" s="2"/>
      <c r="W2" s="2"/>
    </row>
    <row r="3" customFormat="false" ht="15" hidden="false" customHeight="false" outlineLevel="0" collapsed="false">
      <c r="A3" s="4" t="s">
        <v>21</v>
      </c>
      <c r="B3" s="5" t="n">
        <f aca="false">Settings!$B$7</f>
        <v>46301</v>
      </c>
      <c r="C3" s="4" t="s">
        <v>22</v>
      </c>
      <c r="D3" s="4" t="n">
        <f aca="false">Settings!$B$5</f>
        <v>3</v>
      </c>
      <c r="E3" s="4" t="s">
        <v>23</v>
      </c>
      <c r="F3" s="5" t="n">
        <f aca="false">Settings!$B$6</f>
        <v>46447</v>
      </c>
    </row>
    <row r="5" customFormat="false" ht="43.5" hidden="false" customHeight="true" outlineLevel="0" collapsed="false">
      <c r="A5" s="6" t="s">
        <v>24</v>
      </c>
      <c r="B5" s="6" t="s">
        <v>25</v>
      </c>
      <c r="C5" s="6" t="s">
        <v>26</v>
      </c>
      <c r="D5" s="6" t="s">
        <v>27</v>
      </c>
      <c r="E5" s="6" t="s">
        <v>28</v>
      </c>
      <c r="F5" s="6" t="s">
        <v>29</v>
      </c>
      <c r="G5" s="6" t="s">
        <v>30</v>
      </c>
      <c r="H5" s="6" t="s">
        <v>31</v>
      </c>
      <c r="I5" s="6" t="s">
        <v>32</v>
      </c>
      <c r="J5" s="6" t="s">
        <v>33</v>
      </c>
      <c r="K5" s="6" t="s">
        <v>34</v>
      </c>
      <c r="L5" s="6" t="s">
        <v>35</v>
      </c>
      <c r="M5" s="6" t="s">
        <v>36</v>
      </c>
      <c r="N5" s="6" t="s">
        <v>37</v>
      </c>
      <c r="O5" s="6" t="s">
        <v>38</v>
      </c>
      <c r="P5" s="6" t="s">
        <v>39</v>
      </c>
      <c r="Q5" s="6" t="s">
        <v>40</v>
      </c>
      <c r="R5" s="6" t="s">
        <v>41</v>
      </c>
      <c r="S5" s="6" t="s">
        <v>42</v>
      </c>
      <c r="T5" s="6" t="s">
        <v>43</v>
      </c>
      <c r="U5" s="6" t="s">
        <v>44</v>
      </c>
      <c r="V5" s="6" t="s">
        <v>45</v>
      </c>
      <c r="W5" s="6" t="s">
        <v>46</v>
      </c>
    </row>
    <row r="6" customFormat="false" ht="15" hidden="false" customHeight="false" outlineLevel="0" collapsed="false">
      <c r="A6" s="7" t="n">
        <v>1</v>
      </c>
      <c r="B6" s="8" t="n">
        <v>44951</v>
      </c>
      <c r="C6" s="7" t="s">
        <v>47</v>
      </c>
      <c r="D6" s="7" t="s">
        <v>48</v>
      </c>
      <c r="E6" s="9" t="n">
        <v>120</v>
      </c>
      <c r="F6" s="7" t="s">
        <v>49</v>
      </c>
      <c r="G6" s="10" t="n">
        <f aca="false">IF(B6="","",($B$3-B6)/365.25)</f>
        <v>3.69609856262834</v>
      </c>
      <c r="H6" s="8" t="n">
        <f aca="false">IF(B6="","",EDATE(B6,12*$D$3))</f>
        <v>46047</v>
      </c>
      <c r="I6" s="7" t="str">
        <f aca="false">IF(H6="","",IF(H6&lt;=$B$3,"1 - Past threshold: resolve now",IF(H6&lt;=$F$3,"2 - Reaches threshold by next cutoff","3 - Not yet")))</f>
        <v>1 - Past threshold: resolve now</v>
      </c>
      <c r="J6" s="11"/>
      <c r="K6" s="11"/>
      <c r="L6" s="12"/>
      <c r="M6" s="11"/>
      <c r="N6" s="11"/>
      <c r="O6" s="11"/>
      <c r="P6" s="13"/>
      <c r="Q6" s="13"/>
      <c r="R6" s="13"/>
      <c r="S6" s="13"/>
      <c r="T6" s="9" t="str">
        <f aca="false">IF(COUNT(P6:S6)=0,"",ROUND(E6-N(P6)-N(Q6)-N(R6)-N(S6),2))</f>
        <v/>
      </c>
      <c r="U6" s="11"/>
      <c r="V6" s="11"/>
      <c r="W6" s="11"/>
    </row>
    <row r="7" customFormat="false" ht="15" hidden="false" customHeight="false" outlineLevel="0" collapsed="false">
      <c r="A7" s="7" t="n">
        <v>2</v>
      </c>
      <c r="B7" s="8" t="n">
        <v>45049</v>
      </c>
      <c r="C7" s="7" t="s">
        <v>50</v>
      </c>
      <c r="D7" s="7" t="s">
        <v>51</v>
      </c>
      <c r="E7" s="9" t="n">
        <v>544</v>
      </c>
      <c r="F7" s="7" t="s">
        <v>52</v>
      </c>
      <c r="G7" s="10" t="n">
        <f aca="false">IF(B7="","",($B$3-B7)/365.25)</f>
        <v>3.42778918548939</v>
      </c>
      <c r="H7" s="8" t="n">
        <f aca="false">IF(B7="","",EDATE(B7,12*$D$3))</f>
        <v>46145</v>
      </c>
      <c r="I7" s="7" t="str">
        <f aca="false">IF(H7="","",IF(H7&lt;=$B$3,"1 - Past threshold: resolve now",IF(H7&lt;=$F$3,"2 - Reaches threshold by next cutoff","3 - Not yet")))</f>
        <v>1 - Past threshold: resolve now</v>
      </c>
      <c r="J7" s="11"/>
      <c r="K7" s="11"/>
      <c r="L7" s="12"/>
      <c r="M7" s="11"/>
      <c r="N7" s="11"/>
      <c r="O7" s="11"/>
      <c r="P7" s="13"/>
      <c r="Q7" s="13"/>
      <c r="R7" s="13"/>
      <c r="S7" s="13"/>
      <c r="T7" s="9" t="str">
        <f aca="false">IF(COUNT(P7:S7)=0,"",ROUND(E7-N(P7)-N(Q7)-N(R7)-N(S7),2))</f>
        <v/>
      </c>
      <c r="U7" s="11"/>
      <c r="V7" s="11"/>
      <c r="W7" s="11"/>
    </row>
    <row r="8" customFormat="false" ht="15" hidden="false" customHeight="false" outlineLevel="0" collapsed="false">
      <c r="A8" s="7" t="n">
        <v>3</v>
      </c>
      <c r="B8" s="8" t="n">
        <v>45093</v>
      </c>
      <c r="C8" s="7" t="s">
        <v>53</v>
      </c>
      <c r="D8" s="7" t="s">
        <v>54</v>
      </c>
      <c r="E8" s="9" t="n">
        <v>250</v>
      </c>
      <c r="F8" s="7" t="s">
        <v>55</v>
      </c>
      <c r="G8" s="10" t="n">
        <f aca="false">IF(B8="","",($B$3-B8)/365.25)</f>
        <v>3.30732375085558</v>
      </c>
      <c r="H8" s="8" t="n">
        <f aca="false">IF(B8="","",EDATE(B8,12*$D$3))</f>
        <v>46189</v>
      </c>
      <c r="I8" s="7" t="str">
        <f aca="false">IF(H8="","",IF(H8&lt;=$B$3,"1 - Past threshold: resolve now",IF(H8&lt;=$F$3,"2 - Reaches threshold by next cutoff","3 - Not yet")))</f>
        <v>1 - Past threshold: resolve now</v>
      </c>
      <c r="J8" s="11"/>
      <c r="K8" s="11"/>
      <c r="L8" s="12"/>
      <c r="M8" s="11"/>
      <c r="N8" s="11"/>
      <c r="O8" s="11"/>
      <c r="P8" s="13"/>
      <c r="Q8" s="13"/>
      <c r="R8" s="13"/>
      <c r="S8" s="13"/>
      <c r="T8" s="9" t="str">
        <f aca="false">IF(COUNT(P8:S8)=0,"",ROUND(E8-N(P8)-N(Q8)-N(R8)-N(S8),2))</f>
        <v/>
      </c>
      <c r="U8" s="11"/>
      <c r="V8" s="11"/>
      <c r="W8" s="11"/>
    </row>
    <row r="9" customFormat="false" ht="15" hidden="false" customHeight="false" outlineLevel="0" collapsed="false">
      <c r="A9" s="7" t="n">
        <v>4</v>
      </c>
      <c r="B9" s="8" t="n">
        <v>45093</v>
      </c>
      <c r="C9" s="7" t="s">
        <v>56</v>
      </c>
      <c r="D9" s="7"/>
      <c r="E9" s="9" t="n">
        <v>644</v>
      </c>
      <c r="F9" s="7" t="s">
        <v>57</v>
      </c>
      <c r="G9" s="10" t="n">
        <f aca="false">IF(B9="","",($B$3-B9)/365.25)</f>
        <v>3.30732375085558</v>
      </c>
      <c r="H9" s="8" t="n">
        <f aca="false">IF(B9="","",EDATE(B9,12*$D$3))</f>
        <v>46189</v>
      </c>
      <c r="I9" s="7" t="str">
        <f aca="false">IF(H9="","",IF(H9&lt;=$B$3,"1 - Past threshold: resolve now",IF(H9&lt;=$F$3,"2 - Reaches threshold by next cutoff","3 - Not yet")))</f>
        <v>1 - Past threshold: resolve now</v>
      </c>
      <c r="J9" s="11"/>
      <c r="K9" s="11"/>
      <c r="L9" s="12"/>
      <c r="M9" s="11"/>
      <c r="N9" s="11"/>
      <c r="O9" s="11"/>
      <c r="P9" s="13"/>
      <c r="Q9" s="13"/>
      <c r="R9" s="13"/>
      <c r="S9" s="13"/>
      <c r="T9" s="9" t="str">
        <f aca="false">IF(COUNT(P9:S9)=0,"",ROUND(E9-N(P9)-N(Q9)-N(R9)-N(S9),2))</f>
        <v/>
      </c>
      <c r="U9" s="11"/>
      <c r="V9" s="11"/>
      <c r="W9" s="11"/>
    </row>
    <row r="10" customFormat="false" ht="15" hidden="false" customHeight="false" outlineLevel="0" collapsed="false">
      <c r="A10" s="7" t="n">
        <v>5</v>
      </c>
      <c r="B10" s="8" t="n">
        <v>45133</v>
      </c>
      <c r="C10" s="7" t="s">
        <v>58</v>
      </c>
      <c r="D10" s="7" t="s">
        <v>59</v>
      </c>
      <c r="E10" s="9" t="n">
        <v>150</v>
      </c>
      <c r="F10" s="7"/>
      <c r="G10" s="10" t="n">
        <f aca="false">IF(B10="","",($B$3-B10)/365.25)</f>
        <v>3.19780971937029</v>
      </c>
      <c r="H10" s="8" t="n">
        <f aca="false">IF(B10="","",EDATE(B10,12*$D$3))</f>
        <v>46229</v>
      </c>
      <c r="I10" s="7" t="str">
        <f aca="false">IF(H10="","",IF(H10&lt;=$B$3,"1 - Past threshold: resolve now",IF(H10&lt;=$F$3,"2 - Reaches threshold by next cutoff","3 - Not yet")))</f>
        <v>1 - Past threshold: resolve now</v>
      </c>
      <c r="J10" s="11"/>
      <c r="K10" s="11"/>
      <c r="L10" s="12"/>
      <c r="M10" s="11"/>
      <c r="N10" s="11"/>
      <c r="O10" s="11"/>
      <c r="P10" s="13"/>
      <c r="Q10" s="13"/>
      <c r="R10" s="13"/>
      <c r="S10" s="13"/>
      <c r="T10" s="9" t="str">
        <f aca="false">IF(COUNT(P10:S10)=0,"",ROUND(E10-N(P10)-N(Q10)-N(R10)-N(S10),2))</f>
        <v/>
      </c>
      <c r="U10" s="11"/>
      <c r="V10" s="11"/>
      <c r="W10" s="11"/>
    </row>
    <row r="11" customFormat="false" ht="15" hidden="false" customHeight="false" outlineLevel="0" collapsed="false">
      <c r="A11" s="7" t="n">
        <v>6</v>
      </c>
      <c r="B11" s="8" t="n">
        <v>45135</v>
      </c>
      <c r="C11" s="7" t="s">
        <v>60</v>
      </c>
      <c r="D11" s="7" t="s">
        <v>61</v>
      </c>
      <c r="E11" s="9" t="n">
        <v>150</v>
      </c>
      <c r="F11" s="7" t="s">
        <v>62</v>
      </c>
      <c r="G11" s="10" t="n">
        <f aca="false">IF(B11="","",($B$3-B11)/365.25)</f>
        <v>3.19233401779603</v>
      </c>
      <c r="H11" s="8" t="n">
        <f aca="false">IF(B11="","",EDATE(B11,12*$D$3))</f>
        <v>46231</v>
      </c>
      <c r="I11" s="7" t="str">
        <f aca="false">IF(H11="","",IF(H11&lt;=$B$3,"1 - Past threshold: resolve now",IF(H11&lt;=$F$3,"2 - Reaches threshold by next cutoff","3 - Not yet")))</f>
        <v>1 - Past threshold: resolve now</v>
      </c>
      <c r="J11" s="11"/>
      <c r="K11" s="11"/>
      <c r="L11" s="12"/>
      <c r="M11" s="11"/>
      <c r="N11" s="11"/>
      <c r="O11" s="11"/>
      <c r="P11" s="13"/>
      <c r="Q11" s="13"/>
      <c r="R11" s="13"/>
      <c r="S11" s="13"/>
      <c r="T11" s="9" t="str">
        <f aca="false">IF(COUNT(P11:S11)=0,"",ROUND(E11-N(P11)-N(Q11)-N(R11)-N(S11),2))</f>
        <v/>
      </c>
      <c r="U11" s="11"/>
      <c r="V11" s="11"/>
      <c r="W11" s="11"/>
    </row>
    <row r="12" customFormat="false" ht="15" hidden="false" customHeight="false" outlineLevel="0" collapsed="false">
      <c r="A12" s="7" t="n">
        <v>7</v>
      </c>
      <c r="B12" s="8" t="n">
        <v>45232</v>
      </c>
      <c r="C12" s="7" t="s">
        <v>63</v>
      </c>
      <c r="D12" s="7" t="s">
        <v>64</v>
      </c>
      <c r="E12" s="9" t="n">
        <v>1000</v>
      </c>
      <c r="F12" s="7"/>
      <c r="G12" s="10" t="n">
        <f aca="false">IF(B12="","",($B$3-B12)/365.25)</f>
        <v>2.92676249144422</v>
      </c>
      <c r="H12" s="8" t="n">
        <f aca="false">IF(B12="","",EDATE(B12,12*$D$3))</f>
        <v>46328</v>
      </c>
      <c r="I12" s="7" t="str">
        <f aca="false">IF(H12="","",IF(H12&lt;=$B$3,"1 - Past threshold: resolve now",IF(H12&lt;=$F$3,"2 - Reaches threshold by next cutoff","3 - Not yet")))</f>
        <v>2 - Reaches threshold by next cutoff</v>
      </c>
      <c r="J12" s="11"/>
      <c r="K12" s="11"/>
      <c r="L12" s="12"/>
      <c r="M12" s="11"/>
      <c r="N12" s="11"/>
      <c r="O12" s="11"/>
      <c r="P12" s="13"/>
      <c r="Q12" s="13"/>
      <c r="R12" s="13"/>
      <c r="S12" s="13"/>
      <c r="T12" s="9" t="str">
        <f aca="false">IF(COUNT(P12:S12)=0,"",ROUND(E12-N(P12)-N(Q12)-N(R12)-N(S12),2))</f>
        <v/>
      </c>
      <c r="U12" s="11"/>
      <c r="V12" s="11"/>
      <c r="W12" s="11"/>
    </row>
    <row r="13" customFormat="false" ht="15" hidden="false" customHeight="false" outlineLevel="0" collapsed="false">
      <c r="A13" s="7" t="n">
        <v>8</v>
      </c>
      <c r="B13" s="8" t="n">
        <v>45280</v>
      </c>
      <c r="C13" s="7" t="s">
        <v>65</v>
      </c>
      <c r="D13" s="7" t="s">
        <v>66</v>
      </c>
      <c r="E13" s="9" t="n">
        <v>60</v>
      </c>
      <c r="F13" s="7" t="s">
        <v>67</v>
      </c>
      <c r="G13" s="10" t="n">
        <f aca="false">IF(B13="","",($B$3-B13)/365.25)</f>
        <v>2.79534565366188</v>
      </c>
      <c r="H13" s="8" t="n">
        <f aca="false">IF(B13="","",EDATE(B13,12*$D$3))</f>
        <v>46376</v>
      </c>
      <c r="I13" s="7" t="str">
        <f aca="false">IF(H13="","",IF(H13&lt;=$B$3,"1 - Past threshold: resolve now",IF(H13&lt;=$F$3,"2 - Reaches threshold by next cutoff","3 - Not yet")))</f>
        <v>2 - Reaches threshold by next cutoff</v>
      </c>
      <c r="J13" s="11"/>
      <c r="K13" s="11"/>
      <c r="L13" s="12"/>
      <c r="M13" s="11"/>
      <c r="N13" s="11"/>
      <c r="O13" s="11"/>
      <c r="P13" s="13"/>
      <c r="Q13" s="13"/>
      <c r="R13" s="13"/>
      <c r="S13" s="13"/>
      <c r="T13" s="9" t="str">
        <f aca="false">IF(COUNT(P13:S13)=0,"",ROUND(E13-N(P13)-N(Q13)-N(R13)-N(S13),2))</f>
        <v/>
      </c>
      <c r="U13" s="11"/>
      <c r="V13" s="11"/>
      <c r="W13" s="11"/>
    </row>
    <row r="14" customFormat="false" ht="15" hidden="false" customHeight="false" outlineLevel="0" collapsed="false">
      <c r="A14" s="7" t="n">
        <v>9</v>
      </c>
      <c r="B14" s="8" t="n">
        <v>45343</v>
      </c>
      <c r="C14" s="7" t="s">
        <v>68</v>
      </c>
      <c r="D14" s="7" t="s">
        <v>69</v>
      </c>
      <c r="E14" s="9" t="n">
        <v>644</v>
      </c>
      <c r="F14" s="7"/>
      <c r="G14" s="10" t="n">
        <f aca="false">IF(B14="","",($B$3-B14)/365.25)</f>
        <v>2.62286105407255</v>
      </c>
      <c r="H14" s="8" t="n">
        <f aca="false">IF(B14="","",EDATE(B14,12*$D$3))</f>
        <v>46439</v>
      </c>
      <c r="I14" s="7" t="str">
        <f aca="false">IF(H14="","",IF(H14&lt;=$B$3,"1 - Past threshold: resolve now",IF(H14&lt;=$F$3,"2 - Reaches threshold by next cutoff","3 - Not yet")))</f>
        <v>2 - Reaches threshold by next cutoff</v>
      </c>
      <c r="J14" s="11"/>
      <c r="K14" s="11"/>
      <c r="L14" s="12"/>
      <c r="M14" s="11"/>
      <c r="N14" s="11"/>
      <c r="O14" s="11"/>
      <c r="P14" s="13"/>
      <c r="Q14" s="13"/>
      <c r="R14" s="13"/>
      <c r="S14" s="13"/>
      <c r="T14" s="9" t="str">
        <f aca="false">IF(COUNT(P14:S14)=0,"",ROUND(E14-N(P14)-N(Q14)-N(R14)-N(S14),2))</f>
        <v/>
      </c>
      <c r="U14" s="11"/>
      <c r="V14" s="11"/>
      <c r="W14" s="11"/>
    </row>
    <row r="15" customFormat="false" ht="15" hidden="false" customHeight="false" outlineLevel="0" collapsed="false">
      <c r="A15" s="7" t="n">
        <v>10</v>
      </c>
      <c r="B15" s="8" t="n">
        <v>45345</v>
      </c>
      <c r="C15" s="7" t="s">
        <v>70</v>
      </c>
      <c r="D15" s="7"/>
      <c r="E15" s="9" t="n">
        <v>729.5</v>
      </c>
      <c r="F15" s="7" t="s">
        <v>71</v>
      </c>
      <c r="G15" s="10" t="n">
        <f aca="false">IF(B15="","",($B$3-B15)/365.25)</f>
        <v>2.61738535249829</v>
      </c>
      <c r="H15" s="8" t="n">
        <f aca="false">IF(B15="","",EDATE(B15,12*$D$3))</f>
        <v>46441</v>
      </c>
      <c r="I15" s="7" t="str">
        <f aca="false">IF(H15="","",IF(H15&lt;=$B$3,"1 - Past threshold: resolve now",IF(H15&lt;=$F$3,"2 - Reaches threshold by next cutoff","3 - Not yet")))</f>
        <v>2 - Reaches threshold by next cutoff</v>
      </c>
      <c r="J15" s="11"/>
      <c r="K15" s="11"/>
      <c r="L15" s="12"/>
      <c r="M15" s="11"/>
      <c r="N15" s="11"/>
      <c r="O15" s="11"/>
      <c r="P15" s="13"/>
      <c r="Q15" s="13"/>
      <c r="R15" s="13"/>
      <c r="S15" s="13"/>
      <c r="T15" s="9" t="str">
        <f aca="false">IF(COUNT(P15:S15)=0,"",ROUND(E15-N(P15)-N(Q15)-N(R15)-N(S15),2))</f>
        <v/>
      </c>
      <c r="U15" s="11"/>
      <c r="V15" s="11"/>
      <c r="W15" s="11"/>
    </row>
    <row r="16" customFormat="false" ht="15" hidden="false" customHeight="false" outlineLevel="0" collapsed="false">
      <c r="A16" s="7" t="n">
        <v>11</v>
      </c>
      <c r="B16" s="8" t="n">
        <v>45370</v>
      </c>
      <c r="C16" s="7" t="s">
        <v>72</v>
      </c>
      <c r="D16" s="7" t="s">
        <v>73</v>
      </c>
      <c r="E16" s="9" t="n">
        <v>1000</v>
      </c>
      <c r="F16" s="7"/>
      <c r="G16" s="10" t="n">
        <f aca="false">IF(B16="","",($B$3-B16)/365.25)</f>
        <v>2.54893908281999</v>
      </c>
      <c r="H16" s="8" t="n">
        <f aca="false">IF(B16="","",EDATE(B16,12*$D$3))</f>
        <v>46465</v>
      </c>
      <c r="I16" s="7" t="str">
        <f aca="false">IF(H16="","",IF(H16&lt;=$B$3,"1 - Past threshold: resolve now",IF(H16&lt;=$F$3,"2 - Reaches threshold by next cutoff","3 - Not yet")))</f>
        <v>3 - Not yet</v>
      </c>
      <c r="J16" s="11"/>
      <c r="K16" s="11"/>
      <c r="L16" s="12"/>
      <c r="M16" s="11"/>
      <c r="N16" s="11"/>
      <c r="O16" s="11"/>
      <c r="P16" s="13"/>
      <c r="Q16" s="13"/>
      <c r="R16" s="13"/>
      <c r="S16" s="13"/>
      <c r="T16" s="9" t="str">
        <f aca="false">IF(COUNT(P16:S16)=0,"",ROUND(E16-N(P16)-N(Q16)-N(R16)-N(S16),2))</f>
        <v/>
      </c>
      <c r="U16" s="11"/>
      <c r="V16" s="11"/>
      <c r="W16" s="11"/>
    </row>
    <row r="17" customFormat="false" ht="15" hidden="false" customHeight="false" outlineLevel="0" collapsed="false">
      <c r="A17" s="7" t="n">
        <v>12</v>
      </c>
      <c r="B17" s="8" t="n">
        <v>45388</v>
      </c>
      <c r="C17" s="7" t="s">
        <v>74</v>
      </c>
      <c r="D17" s="7" t="s">
        <v>75</v>
      </c>
      <c r="E17" s="9" t="n">
        <v>250</v>
      </c>
      <c r="F17" s="7"/>
      <c r="G17" s="10" t="n">
        <f aca="false">IF(B17="","",($B$3-B17)/365.25)</f>
        <v>2.49965776865161</v>
      </c>
      <c r="H17" s="8" t="n">
        <f aca="false">IF(B17="","",EDATE(B17,12*$D$3))</f>
        <v>46483</v>
      </c>
      <c r="I17" s="7" t="str">
        <f aca="false">IF(H17="","",IF(H17&lt;=$B$3,"1 - Past threshold: resolve now",IF(H17&lt;=$F$3,"2 - Reaches threshold by next cutoff","3 - Not yet")))</f>
        <v>3 - Not yet</v>
      </c>
      <c r="J17" s="11"/>
      <c r="K17" s="11"/>
      <c r="L17" s="12"/>
      <c r="M17" s="11"/>
      <c r="N17" s="11"/>
      <c r="O17" s="11"/>
      <c r="P17" s="13"/>
      <c r="Q17" s="13"/>
      <c r="R17" s="13"/>
      <c r="S17" s="13"/>
      <c r="T17" s="9" t="str">
        <f aca="false">IF(COUNT(P17:S17)=0,"",ROUND(E17-N(P17)-N(Q17)-N(R17)-N(S17),2))</f>
        <v/>
      </c>
      <c r="U17" s="11"/>
      <c r="V17" s="11"/>
      <c r="W17" s="11"/>
    </row>
    <row r="18" customFormat="false" ht="15" hidden="false" customHeight="false" outlineLevel="0" collapsed="false">
      <c r="A18" s="7" t="n">
        <v>13</v>
      </c>
      <c r="B18" s="8" t="n">
        <v>45418</v>
      </c>
      <c r="C18" s="7" t="s">
        <v>76</v>
      </c>
      <c r="D18" s="7" t="s">
        <v>66</v>
      </c>
      <c r="E18" s="9" t="n">
        <v>60</v>
      </c>
      <c r="F18" s="7" t="s">
        <v>67</v>
      </c>
      <c r="G18" s="10" t="n">
        <f aca="false">IF(B18="","",($B$3-B18)/365.25)</f>
        <v>2.41752224503765</v>
      </c>
      <c r="H18" s="8" t="n">
        <f aca="false">IF(B18="","",EDATE(B18,12*$D$3))</f>
        <v>46513</v>
      </c>
      <c r="I18" s="7" t="str">
        <f aca="false">IF(H18="","",IF(H18&lt;=$B$3,"1 - Past threshold: resolve now",IF(H18&lt;=$F$3,"2 - Reaches threshold by next cutoff","3 - Not yet")))</f>
        <v>3 - Not yet</v>
      </c>
      <c r="J18" s="11"/>
      <c r="K18" s="11"/>
      <c r="L18" s="12"/>
      <c r="M18" s="11"/>
      <c r="N18" s="11"/>
      <c r="O18" s="11"/>
      <c r="P18" s="13"/>
      <c r="Q18" s="13"/>
      <c r="R18" s="13"/>
      <c r="S18" s="13"/>
      <c r="T18" s="9" t="str">
        <f aca="false">IF(COUNT(P18:S18)=0,"",ROUND(E18-N(P18)-N(Q18)-N(R18)-N(S18),2))</f>
        <v/>
      </c>
      <c r="U18" s="11"/>
      <c r="V18" s="11"/>
      <c r="W18" s="11"/>
    </row>
    <row r="19" customFormat="false" ht="15" hidden="false" customHeight="false" outlineLevel="0" collapsed="false">
      <c r="A19" s="7" t="n">
        <v>14</v>
      </c>
      <c r="B19" s="8" t="n">
        <v>45454</v>
      </c>
      <c r="C19" s="7" t="s">
        <v>77</v>
      </c>
      <c r="D19" s="7" t="s">
        <v>69</v>
      </c>
      <c r="E19" s="9" t="n">
        <v>644</v>
      </c>
      <c r="F19" s="7"/>
      <c r="G19" s="10" t="n">
        <f aca="false">IF(B19="","",($B$3-B19)/365.25)</f>
        <v>2.31895961670089</v>
      </c>
      <c r="H19" s="8" t="n">
        <f aca="false">IF(B19="","",EDATE(B19,12*$D$3))</f>
        <v>46549</v>
      </c>
      <c r="I19" s="7" t="str">
        <f aca="false">IF(H19="","",IF(H19&lt;=$B$3,"1 - Past threshold: resolve now",IF(H19&lt;=$F$3,"2 - Reaches threshold by next cutoff","3 - Not yet")))</f>
        <v>3 - Not yet</v>
      </c>
      <c r="J19" s="11"/>
      <c r="K19" s="11"/>
      <c r="L19" s="12"/>
      <c r="M19" s="11"/>
      <c r="N19" s="11"/>
      <c r="O19" s="11"/>
      <c r="P19" s="13"/>
      <c r="Q19" s="13"/>
      <c r="R19" s="13"/>
      <c r="S19" s="13"/>
      <c r="T19" s="9" t="str">
        <f aca="false">IF(COUNT(P19:S19)=0,"",ROUND(E19-N(P19)-N(Q19)-N(R19)-N(S19),2))</f>
        <v/>
      </c>
      <c r="U19" s="11"/>
      <c r="V19" s="11"/>
      <c r="W19" s="11"/>
    </row>
    <row r="20" customFormat="false" ht="15" hidden="false" customHeight="false" outlineLevel="0" collapsed="false">
      <c r="A20" s="7" t="n">
        <v>15</v>
      </c>
      <c r="B20" s="8" t="n">
        <v>45469</v>
      </c>
      <c r="C20" s="7" t="s">
        <v>78</v>
      </c>
      <c r="D20" s="7" t="s">
        <v>69</v>
      </c>
      <c r="E20" s="9" t="n">
        <v>644</v>
      </c>
      <c r="F20" s="7"/>
      <c r="G20" s="10" t="n">
        <f aca="false">IF(B20="","",($B$3-B20)/365.25)</f>
        <v>2.27789185489391</v>
      </c>
      <c r="H20" s="8" t="n">
        <f aca="false">IF(B20="","",EDATE(B20,12*$D$3))</f>
        <v>46564</v>
      </c>
      <c r="I20" s="7" t="str">
        <f aca="false">IF(H20="","",IF(H20&lt;=$B$3,"1 - Past threshold: resolve now",IF(H20&lt;=$F$3,"2 - Reaches threshold by next cutoff","3 - Not yet")))</f>
        <v>3 - Not yet</v>
      </c>
      <c r="J20" s="11"/>
      <c r="K20" s="11"/>
      <c r="L20" s="12"/>
      <c r="M20" s="11"/>
      <c r="N20" s="11"/>
      <c r="O20" s="11"/>
      <c r="P20" s="13"/>
      <c r="Q20" s="13"/>
      <c r="R20" s="13"/>
      <c r="S20" s="13"/>
      <c r="T20" s="9" t="str">
        <f aca="false">IF(COUNT(P20:S20)=0,"",ROUND(E20-N(P20)-N(Q20)-N(R20)-N(S20),2))</f>
        <v/>
      </c>
      <c r="U20" s="11"/>
      <c r="V20" s="11"/>
      <c r="W20" s="11"/>
    </row>
    <row r="21" customFormat="false" ht="15" hidden="false" customHeight="false" outlineLevel="0" collapsed="false">
      <c r="A21" s="7" t="n">
        <v>16</v>
      </c>
      <c r="B21" s="8" t="n">
        <v>45491</v>
      </c>
      <c r="C21" s="7" t="s">
        <v>79</v>
      </c>
      <c r="D21" s="7" t="s">
        <v>80</v>
      </c>
      <c r="E21" s="9" t="n">
        <v>644</v>
      </c>
      <c r="F21" s="7"/>
      <c r="G21" s="10" t="n">
        <f aca="false">IF(B21="","",($B$3-B21)/365.25)</f>
        <v>2.217659137577</v>
      </c>
      <c r="H21" s="8" t="n">
        <f aca="false">IF(B21="","",EDATE(B21,12*$D$3))</f>
        <v>46586</v>
      </c>
      <c r="I21" s="7" t="str">
        <f aca="false">IF(H21="","",IF(H21&lt;=$B$3,"1 - Past threshold: resolve now",IF(H21&lt;=$F$3,"2 - Reaches threshold by next cutoff","3 - Not yet")))</f>
        <v>3 - Not yet</v>
      </c>
      <c r="J21" s="11"/>
      <c r="K21" s="11"/>
      <c r="L21" s="12"/>
      <c r="M21" s="11"/>
      <c r="N21" s="11"/>
      <c r="O21" s="11"/>
      <c r="P21" s="13"/>
      <c r="Q21" s="13"/>
      <c r="R21" s="13"/>
      <c r="S21" s="13"/>
      <c r="T21" s="9" t="str">
        <f aca="false">IF(COUNT(P21:S21)=0,"",ROUND(E21-N(P21)-N(Q21)-N(R21)-N(S21),2))</f>
        <v/>
      </c>
      <c r="U21" s="11"/>
      <c r="V21" s="11"/>
      <c r="W21" s="11"/>
    </row>
    <row r="22" customFormat="false" ht="15" hidden="false" customHeight="false" outlineLevel="0" collapsed="false">
      <c r="A22" s="7" t="n">
        <v>17</v>
      </c>
      <c r="B22" s="8" t="n">
        <v>45495</v>
      </c>
      <c r="C22" s="7" t="s">
        <v>81</v>
      </c>
      <c r="D22" s="7" t="s">
        <v>80</v>
      </c>
      <c r="E22" s="9" t="n">
        <v>644</v>
      </c>
      <c r="F22" s="7"/>
      <c r="G22" s="10" t="n">
        <f aca="false">IF(B22="","",($B$3-B22)/365.25)</f>
        <v>2.20670773442847</v>
      </c>
      <c r="H22" s="8" t="n">
        <f aca="false">IF(B22="","",EDATE(B22,12*$D$3))</f>
        <v>46590</v>
      </c>
      <c r="I22" s="7" t="str">
        <f aca="false">IF(H22="","",IF(H22&lt;=$B$3,"1 - Past threshold: resolve now",IF(H22&lt;=$F$3,"2 - Reaches threshold by next cutoff","3 - Not yet")))</f>
        <v>3 - Not yet</v>
      </c>
      <c r="J22" s="11"/>
      <c r="K22" s="11"/>
      <c r="L22" s="12"/>
      <c r="M22" s="11"/>
      <c r="N22" s="11"/>
      <c r="O22" s="11"/>
      <c r="P22" s="13"/>
      <c r="Q22" s="13"/>
      <c r="R22" s="13"/>
      <c r="S22" s="13"/>
      <c r="T22" s="9" t="str">
        <f aca="false">IF(COUNT(P22:S22)=0,"",ROUND(E22-N(P22)-N(Q22)-N(R22)-N(S22),2))</f>
        <v/>
      </c>
      <c r="U22" s="11"/>
      <c r="V22" s="11"/>
      <c r="W22" s="11"/>
    </row>
    <row r="23" customFormat="false" ht="15" hidden="false" customHeight="false" outlineLevel="0" collapsed="false">
      <c r="A23" s="7" t="n">
        <v>18</v>
      </c>
      <c r="B23" s="8" t="n">
        <v>45502</v>
      </c>
      <c r="C23" s="7" t="s">
        <v>82</v>
      </c>
      <c r="D23" s="7" t="s">
        <v>83</v>
      </c>
      <c r="E23" s="9" t="n">
        <v>2819.94</v>
      </c>
      <c r="F23" s="7"/>
      <c r="G23" s="10" t="n">
        <f aca="false">IF(B23="","",($B$3-B23)/365.25)</f>
        <v>2.18754277891855</v>
      </c>
      <c r="H23" s="8" t="n">
        <f aca="false">IF(B23="","",EDATE(B23,12*$D$3))</f>
        <v>46597</v>
      </c>
      <c r="I23" s="7" t="str">
        <f aca="false">IF(H23="","",IF(H23&lt;=$B$3,"1 - Past threshold: resolve now",IF(H23&lt;=$F$3,"2 - Reaches threshold by next cutoff","3 - Not yet")))</f>
        <v>3 - Not yet</v>
      </c>
      <c r="J23" s="11"/>
      <c r="K23" s="11"/>
      <c r="L23" s="12"/>
      <c r="M23" s="11"/>
      <c r="N23" s="11"/>
      <c r="O23" s="11"/>
      <c r="P23" s="13"/>
      <c r="Q23" s="13"/>
      <c r="R23" s="13"/>
      <c r="S23" s="13"/>
      <c r="T23" s="9" t="str">
        <f aca="false">IF(COUNT(P23:S23)=0,"",ROUND(E23-N(P23)-N(Q23)-N(R23)-N(S23),2))</f>
        <v/>
      </c>
      <c r="U23" s="11"/>
      <c r="V23" s="11"/>
      <c r="W23" s="11"/>
    </row>
    <row r="24" customFormat="false" ht="15" hidden="false" customHeight="false" outlineLevel="0" collapsed="false">
      <c r="A24" s="7" t="n">
        <v>19</v>
      </c>
      <c r="B24" s="8" t="n">
        <v>45506</v>
      </c>
      <c r="C24" s="7" t="s">
        <v>84</v>
      </c>
      <c r="D24" s="7" t="s">
        <v>85</v>
      </c>
      <c r="E24" s="9" t="n">
        <v>500</v>
      </c>
      <c r="F24" s="7" t="s">
        <v>85</v>
      </c>
      <c r="G24" s="10" t="n">
        <f aca="false">IF(B24="","",($B$3-B24)/365.25)</f>
        <v>2.17659137577002</v>
      </c>
      <c r="H24" s="8" t="n">
        <f aca="false">IF(B24="","",EDATE(B24,12*$D$3))</f>
        <v>46601</v>
      </c>
      <c r="I24" s="7" t="str">
        <f aca="false">IF(H24="","",IF(H24&lt;=$B$3,"1 - Past threshold: resolve now",IF(H24&lt;=$F$3,"2 - Reaches threshold by next cutoff","3 - Not yet")))</f>
        <v>3 - Not yet</v>
      </c>
      <c r="J24" s="11"/>
      <c r="K24" s="11"/>
      <c r="L24" s="12"/>
      <c r="M24" s="11"/>
      <c r="N24" s="11"/>
      <c r="O24" s="11"/>
      <c r="P24" s="13"/>
      <c r="Q24" s="13"/>
      <c r="R24" s="13"/>
      <c r="S24" s="13"/>
      <c r="T24" s="9" t="str">
        <f aca="false">IF(COUNT(P24:S24)=0,"",ROUND(E24-N(P24)-N(Q24)-N(R24)-N(S24),2))</f>
        <v/>
      </c>
      <c r="U24" s="11"/>
      <c r="V24" s="11"/>
      <c r="W24" s="11"/>
    </row>
    <row r="25" customFormat="false" ht="15" hidden="false" customHeight="false" outlineLevel="0" collapsed="false">
      <c r="A25" s="7" t="n">
        <v>20</v>
      </c>
      <c r="B25" s="8" t="n">
        <v>45518</v>
      </c>
      <c r="C25" s="7" t="s">
        <v>86</v>
      </c>
      <c r="D25" s="7"/>
      <c r="E25" s="9" t="n">
        <v>1100</v>
      </c>
      <c r="F25" s="7" t="s">
        <v>87</v>
      </c>
      <c r="G25" s="10" t="n">
        <f aca="false">IF(B25="","",($B$3-B25)/365.25)</f>
        <v>2.14373716632444</v>
      </c>
      <c r="H25" s="8" t="n">
        <f aca="false">IF(B25="","",EDATE(B25,12*$D$3))</f>
        <v>46613</v>
      </c>
      <c r="I25" s="7" t="str">
        <f aca="false">IF(H25="","",IF(H25&lt;=$B$3,"1 - Past threshold: resolve now",IF(H25&lt;=$F$3,"2 - Reaches threshold by next cutoff","3 - Not yet")))</f>
        <v>3 - Not yet</v>
      </c>
      <c r="J25" s="11"/>
      <c r="K25" s="11"/>
      <c r="L25" s="12"/>
      <c r="M25" s="11"/>
      <c r="N25" s="11"/>
      <c r="O25" s="11"/>
      <c r="P25" s="13"/>
      <c r="Q25" s="13"/>
      <c r="R25" s="13"/>
      <c r="S25" s="13"/>
      <c r="T25" s="9" t="str">
        <f aca="false">IF(COUNT(P25:S25)=0,"",ROUND(E25-N(P25)-N(Q25)-N(R25)-N(S25),2))</f>
        <v/>
      </c>
      <c r="U25" s="11"/>
      <c r="V25" s="11"/>
      <c r="W25" s="11"/>
    </row>
    <row r="26" customFormat="false" ht="15" hidden="false" customHeight="false" outlineLevel="0" collapsed="false">
      <c r="A26" s="7" t="n">
        <v>21</v>
      </c>
      <c r="B26" s="8" t="n">
        <v>45524</v>
      </c>
      <c r="C26" s="7" t="s">
        <v>88</v>
      </c>
      <c r="D26" s="7"/>
      <c r="E26" s="9" t="n">
        <v>1074.5</v>
      </c>
      <c r="F26" s="7" t="s">
        <v>89</v>
      </c>
      <c r="G26" s="10" t="n">
        <f aca="false">IF(B26="","",($B$3-B26)/365.25)</f>
        <v>2.12731006160164</v>
      </c>
      <c r="H26" s="8" t="n">
        <f aca="false">IF(B26="","",EDATE(B26,12*$D$3))</f>
        <v>46619</v>
      </c>
      <c r="I26" s="7" t="str">
        <f aca="false">IF(H26="","",IF(H26&lt;=$B$3,"1 - Past threshold: resolve now",IF(H26&lt;=$F$3,"2 - Reaches threshold by next cutoff","3 - Not yet")))</f>
        <v>3 - Not yet</v>
      </c>
      <c r="J26" s="11"/>
      <c r="K26" s="11"/>
      <c r="L26" s="12"/>
      <c r="M26" s="11"/>
      <c r="N26" s="11"/>
      <c r="O26" s="11"/>
      <c r="P26" s="13"/>
      <c r="Q26" s="13"/>
      <c r="R26" s="13"/>
      <c r="S26" s="13"/>
      <c r="T26" s="9" t="str">
        <f aca="false">IF(COUNT(P26:S26)=0,"",ROUND(E26-N(P26)-N(Q26)-N(R26)-N(S26),2))</f>
        <v/>
      </c>
      <c r="U26" s="11"/>
      <c r="V26" s="11"/>
      <c r="W26" s="11"/>
    </row>
    <row r="27" customFormat="false" ht="15" hidden="false" customHeight="false" outlineLevel="0" collapsed="false">
      <c r="A27" s="7" t="n">
        <v>22</v>
      </c>
      <c r="B27" s="8" t="n">
        <v>45539</v>
      </c>
      <c r="C27" s="7" t="s">
        <v>90</v>
      </c>
      <c r="D27" s="7" t="s">
        <v>73</v>
      </c>
      <c r="E27" s="9" t="n">
        <v>250</v>
      </c>
      <c r="F27" s="7"/>
      <c r="G27" s="10" t="n">
        <f aca="false">IF(B27="","",($B$3-B27)/365.25)</f>
        <v>2.08624229979466</v>
      </c>
      <c r="H27" s="8" t="n">
        <f aca="false">IF(B27="","",EDATE(B27,12*$D$3))</f>
        <v>46634</v>
      </c>
      <c r="I27" s="7" t="str">
        <f aca="false">IF(H27="","",IF(H27&lt;=$B$3,"1 - Past threshold: resolve now",IF(H27&lt;=$F$3,"2 - Reaches threshold by next cutoff","3 - Not yet")))</f>
        <v>3 - Not yet</v>
      </c>
      <c r="J27" s="11"/>
      <c r="K27" s="11"/>
      <c r="L27" s="12"/>
      <c r="M27" s="11"/>
      <c r="N27" s="11"/>
      <c r="O27" s="11"/>
      <c r="P27" s="13"/>
      <c r="Q27" s="13"/>
      <c r="R27" s="13"/>
      <c r="S27" s="13"/>
      <c r="T27" s="9" t="str">
        <f aca="false">IF(COUNT(P27:S27)=0,"",ROUND(E27-N(P27)-N(Q27)-N(R27)-N(S27),2))</f>
        <v/>
      </c>
      <c r="U27" s="11"/>
      <c r="V27" s="11"/>
      <c r="W27" s="11"/>
    </row>
    <row r="28" customFormat="false" ht="15" hidden="false" customHeight="false" outlineLevel="0" collapsed="false">
      <c r="A28" s="7" t="n">
        <v>23</v>
      </c>
      <c r="B28" s="8" t="n">
        <v>45545</v>
      </c>
      <c r="C28" s="7" t="s">
        <v>91</v>
      </c>
      <c r="D28" s="7" t="s">
        <v>92</v>
      </c>
      <c r="E28" s="9" t="n">
        <v>250</v>
      </c>
      <c r="F28" s="7" t="s">
        <v>93</v>
      </c>
      <c r="G28" s="10" t="n">
        <f aca="false">IF(B28="","",($B$3-B28)/365.25)</f>
        <v>2.06981519507187</v>
      </c>
      <c r="H28" s="8" t="n">
        <f aca="false">IF(B28="","",EDATE(B28,12*$D$3))</f>
        <v>46640</v>
      </c>
      <c r="I28" s="7" t="str">
        <f aca="false">IF(H28="","",IF(H28&lt;=$B$3,"1 - Past threshold: resolve now",IF(H28&lt;=$F$3,"2 - Reaches threshold by next cutoff","3 - Not yet")))</f>
        <v>3 - Not yet</v>
      </c>
      <c r="J28" s="11"/>
      <c r="K28" s="11"/>
      <c r="L28" s="12"/>
      <c r="M28" s="11"/>
      <c r="N28" s="11"/>
      <c r="O28" s="11"/>
      <c r="P28" s="13"/>
      <c r="Q28" s="13"/>
      <c r="R28" s="13"/>
      <c r="S28" s="13"/>
      <c r="T28" s="9" t="str">
        <f aca="false">IF(COUNT(P28:S28)=0,"",ROUND(E28-N(P28)-N(Q28)-N(R28)-N(S28),2))</f>
        <v/>
      </c>
      <c r="U28" s="11"/>
      <c r="V28" s="11"/>
      <c r="W28" s="11"/>
    </row>
    <row r="29" customFormat="false" ht="15" hidden="false" customHeight="false" outlineLevel="0" collapsed="false">
      <c r="A29" s="7" t="n">
        <v>24</v>
      </c>
      <c r="B29" s="8" t="n">
        <v>45547</v>
      </c>
      <c r="C29" s="7" t="s">
        <v>94</v>
      </c>
      <c r="D29" s="7"/>
      <c r="E29" s="9" t="n">
        <v>300</v>
      </c>
      <c r="F29" s="7" t="s">
        <v>95</v>
      </c>
      <c r="G29" s="10" t="n">
        <f aca="false">IF(B29="","",($B$3-B29)/365.25)</f>
        <v>2.0643394934976</v>
      </c>
      <c r="H29" s="8" t="n">
        <f aca="false">IF(B29="","",EDATE(B29,12*$D$3))</f>
        <v>46642</v>
      </c>
      <c r="I29" s="7" t="str">
        <f aca="false">IF(H29="","",IF(H29&lt;=$B$3,"1 - Past threshold: resolve now",IF(H29&lt;=$F$3,"2 - Reaches threshold by next cutoff","3 - Not yet")))</f>
        <v>3 - Not yet</v>
      </c>
      <c r="J29" s="11"/>
      <c r="K29" s="11"/>
      <c r="L29" s="12"/>
      <c r="M29" s="11"/>
      <c r="N29" s="11"/>
      <c r="O29" s="11"/>
      <c r="P29" s="13"/>
      <c r="Q29" s="13"/>
      <c r="R29" s="13"/>
      <c r="S29" s="13"/>
      <c r="T29" s="9" t="str">
        <f aca="false">IF(COUNT(P29:S29)=0,"",ROUND(E29-N(P29)-N(Q29)-N(R29)-N(S29),2))</f>
        <v/>
      </c>
      <c r="U29" s="11"/>
      <c r="V29" s="11"/>
      <c r="W29" s="11"/>
    </row>
    <row r="30" customFormat="false" ht="15" hidden="false" customHeight="false" outlineLevel="0" collapsed="false">
      <c r="A30" s="7" t="n">
        <v>25</v>
      </c>
      <c r="B30" s="8" t="n">
        <v>45551</v>
      </c>
      <c r="C30" s="7" t="s">
        <v>96</v>
      </c>
      <c r="D30" s="7"/>
      <c r="E30" s="9" t="n">
        <v>644</v>
      </c>
      <c r="F30" s="7" t="s">
        <v>97</v>
      </c>
      <c r="G30" s="10" t="n">
        <f aca="false">IF(B30="","",($B$3-B30)/365.25)</f>
        <v>2.05338809034908</v>
      </c>
      <c r="H30" s="8" t="n">
        <f aca="false">IF(B30="","",EDATE(B30,12*$D$3))</f>
        <v>46646</v>
      </c>
      <c r="I30" s="7" t="str">
        <f aca="false">IF(H30="","",IF(H30&lt;=$B$3,"1 - Past threshold: resolve now",IF(H30&lt;=$F$3,"2 - Reaches threshold by next cutoff","3 - Not yet")))</f>
        <v>3 - Not yet</v>
      </c>
      <c r="J30" s="11"/>
      <c r="K30" s="11"/>
      <c r="L30" s="12"/>
      <c r="M30" s="11"/>
      <c r="N30" s="11"/>
      <c r="O30" s="11"/>
      <c r="P30" s="13"/>
      <c r="Q30" s="13"/>
      <c r="R30" s="13"/>
      <c r="S30" s="13"/>
      <c r="T30" s="9" t="str">
        <f aca="false">IF(COUNT(P30:S30)=0,"",ROUND(E30-N(P30)-N(Q30)-N(R30)-N(S30),2))</f>
        <v/>
      </c>
      <c r="U30" s="11"/>
      <c r="V30" s="11"/>
      <c r="W30" s="11"/>
    </row>
    <row r="31" customFormat="false" ht="15" hidden="false" customHeight="false" outlineLevel="0" collapsed="false">
      <c r="A31" s="7" t="n">
        <v>26</v>
      </c>
      <c r="B31" s="8" t="n">
        <v>45559</v>
      </c>
      <c r="C31" s="7" t="s">
        <v>98</v>
      </c>
      <c r="D31" s="7" t="s">
        <v>99</v>
      </c>
      <c r="E31" s="9" t="n">
        <v>150</v>
      </c>
      <c r="F31" s="7"/>
      <c r="G31" s="10" t="n">
        <f aca="false">IF(B31="","",($B$3-B31)/365.25)</f>
        <v>2.03148528405202</v>
      </c>
      <c r="H31" s="8" t="n">
        <f aca="false">IF(B31="","",EDATE(B31,12*$D$3))</f>
        <v>46654</v>
      </c>
      <c r="I31" s="7" t="str">
        <f aca="false">IF(H31="","",IF(H31&lt;=$B$3,"1 - Past threshold: resolve now",IF(H31&lt;=$F$3,"2 - Reaches threshold by next cutoff","3 - Not yet")))</f>
        <v>3 - Not yet</v>
      </c>
      <c r="J31" s="11"/>
      <c r="K31" s="11"/>
      <c r="L31" s="12"/>
      <c r="M31" s="11"/>
      <c r="N31" s="11"/>
      <c r="O31" s="11"/>
      <c r="P31" s="13"/>
      <c r="Q31" s="13"/>
      <c r="R31" s="13"/>
      <c r="S31" s="13"/>
      <c r="T31" s="9" t="str">
        <f aca="false">IF(COUNT(P31:S31)=0,"",ROUND(E31-N(P31)-N(Q31)-N(R31)-N(S31),2))</f>
        <v/>
      </c>
      <c r="U31" s="11"/>
      <c r="V31" s="11"/>
      <c r="W31" s="11"/>
    </row>
    <row r="32" customFormat="false" ht="15" hidden="false" customHeight="false" outlineLevel="0" collapsed="false">
      <c r="A32" s="7" t="n">
        <v>27</v>
      </c>
      <c r="B32" s="8" t="n">
        <v>45569</v>
      </c>
      <c r="C32" s="7" t="s">
        <v>100</v>
      </c>
      <c r="D32" s="7" t="s">
        <v>101</v>
      </c>
      <c r="E32" s="9" t="n">
        <v>250</v>
      </c>
      <c r="F32" s="7" t="s">
        <v>102</v>
      </c>
      <c r="G32" s="10" t="n">
        <f aca="false">IF(B32="","",($B$3-B32)/365.25)</f>
        <v>2.0041067761807</v>
      </c>
      <c r="H32" s="8" t="n">
        <f aca="false">IF(B32="","",EDATE(B32,12*$D$3))</f>
        <v>46664</v>
      </c>
      <c r="I32" s="7" t="str">
        <f aca="false">IF(H32="","",IF(H32&lt;=$B$3,"1 - Past threshold: resolve now",IF(H32&lt;=$F$3,"2 - Reaches threshold by next cutoff","3 - Not yet")))</f>
        <v>3 - Not yet</v>
      </c>
      <c r="J32" s="11"/>
      <c r="K32" s="11"/>
      <c r="L32" s="12"/>
      <c r="M32" s="11"/>
      <c r="N32" s="11"/>
      <c r="O32" s="11"/>
      <c r="P32" s="13"/>
      <c r="Q32" s="13"/>
      <c r="R32" s="13"/>
      <c r="S32" s="13"/>
      <c r="T32" s="9" t="str">
        <f aca="false">IF(COUNT(P32:S32)=0,"",ROUND(E32-N(P32)-N(Q32)-N(R32)-N(S32),2))</f>
        <v/>
      </c>
      <c r="U32" s="11"/>
      <c r="V32" s="11"/>
      <c r="W32" s="11"/>
    </row>
    <row r="33" customFormat="false" ht="15" hidden="false" customHeight="false" outlineLevel="0" collapsed="false">
      <c r="A33" s="7" t="n">
        <v>28</v>
      </c>
      <c r="B33" s="8" t="n">
        <v>45582</v>
      </c>
      <c r="C33" s="7" t="s">
        <v>103</v>
      </c>
      <c r="D33" s="7" t="s">
        <v>104</v>
      </c>
      <c r="E33" s="9" t="n">
        <v>639.98</v>
      </c>
      <c r="F33" s="7"/>
      <c r="G33" s="10" t="n">
        <f aca="false">IF(B33="","",($B$3-B33)/365.25)</f>
        <v>1.96851471594798</v>
      </c>
      <c r="H33" s="8" t="n">
        <f aca="false">IF(B33="","",EDATE(B33,12*$D$3))</f>
        <v>46677</v>
      </c>
      <c r="I33" s="7" t="str">
        <f aca="false">IF(H33="","",IF(H33&lt;=$B$3,"1 - Past threshold: resolve now",IF(H33&lt;=$F$3,"2 - Reaches threshold by next cutoff","3 - Not yet")))</f>
        <v>3 - Not yet</v>
      </c>
      <c r="J33" s="11"/>
      <c r="K33" s="11"/>
      <c r="L33" s="12"/>
      <c r="M33" s="11"/>
      <c r="N33" s="11"/>
      <c r="O33" s="11"/>
      <c r="P33" s="13"/>
      <c r="Q33" s="13"/>
      <c r="R33" s="13"/>
      <c r="S33" s="13"/>
      <c r="T33" s="9" t="str">
        <f aca="false">IF(COUNT(P33:S33)=0,"",ROUND(E33-N(P33)-N(Q33)-N(R33)-N(S33),2))</f>
        <v/>
      </c>
      <c r="U33" s="11"/>
      <c r="V33" s="11"/>
      <c r="W33" s="11"/>
    </row>
    <row r="34" customFormat="false" ht="15" hidden="false" customHeight="false" outlineLevel="0" collapsed="false">
      <c r="A34" s="7" t="n">
        <v>29</v>
      </c>
      <c r="B34" s="8" t="n">
        <v>45594</v>
      </c>
      <c r="C34" s="7" t="s">
        <v>105</v>
      </c>
      <c r="D34" s="7"/>
      <c r="E34" s="9" t="n">
        <v>200</v>
      </c>
      <c r="F34" s="7" t="s">
        <v>106</v>
      </c>
      <c r="G34" s="10" t="n">
        <f aca="false">IF(B34="","",($B$3-B34)/365.25)</f>
        <v>1.9356605065024</v>
      </c>
      <c r="H34" s="8" t="n">
        <f aca="false">IF(B34="","",EDATE(B34,12*$D$3))</f>
        <v>46689</v>
      </c>
      <c r="I34" s="7" t="str">
        <f aca="false">IF(H34="","",IF(H34&lt;=$B$3,"1 - Past threshold: resolve now",IF(H34&lt;=$F$3,"2 - Reaches threshold by next cutoff","3 - Not yet")))</f>
        <v>3 - Not yet</v>
      </c>
      <c r="J34" s="11"/>
      <c r="K34" s="11"/>
      <c r="L34" s="12"/>
      <c r="M34" s="11"/>
      <c r="N34" s="11"/>
      <c r="O34" s="11"/>
      <c r="P34" s="13"/>
      <c r="Q34" s="13"/>
      <c r="R34" s="13"/>
      <c r="S34" s="13"/>
      <c r="T34" s="9" t="str">
        <f aca="false">IF(COUNT(P34:S34)=0,"",ROUND(E34-N(P34)-N(Q34)-N(R34)-N(S34),2))</f>
        <v/>
      </c>
      <c r="U34" s="11"/>
      <c r="V34" s="11"/>
      <c r="W34" s="11"/>
    </row>
    <row r="35" customFormat="false" ht="15" hidden="false" customHeight="false" outlineLevel="0" collapsed="false">
      <c r="A35" s="7" t="n">
        <v>30</v>
      </c>
      <c r="B35" s="8" t="n">
        <v>45601</v>
      </c>
      <c r="C35" s="7" t="s">
        <v>107</v>
      </c>
      <c r="D35" s="7"/>
      <c r="E35" s="9" t="n">
        <v>469.5</v>
      </c>
      <c r="F35" s="7" t="s">
        <v>71</v>
      </c>
      <c r="G35" s="10" t="n">
        <f aca="false">IF(B35="","",($B$3-B35)/365.25)</f>
        <v>1.91649555099247</v>
      </c>
      <c r="H35" s="8" t="n">
        <f aca="false">IF(B35="","",EDATE(B35,12*$D$3))</f>
        <v>46696</v>
      </c>
      <c r="I35" s="7" t="str">
        <f aca="false">IF(H35="","",IF(H35&lt;=$B$3,"1 - Past threshold: resolve now",IF(H35&lt;=$F$3,"2 - Reaches threshold by next cutoff","3 - Not yet")))</f>
        <v>3 - Not yet</v>
      </c>
      <c r="J35" s="11"/>
      <c r="K35" s="11"/>
      <c r="L35" s="12"/>
      <c r="M35" s="11"/>
      <c r="N35" s="11"/>
      <c r="O35" s="11"/>
      <c r="P35" s="13"/>
      <c r="Q35" s="13"/>
      <c r="R35" s="13"/>
      <c r="S35" s="13"/>
      <c r="T35" s="9" t="str">
        <f aca="false">IF(COUNT(P35:S35)=0,"",ROUND(E35-N(P35)-N(Q35)-N(R35)-N(S35),2))</f>
        <v/>
      </c>
      <c r="U35" s="11"/>
      <c r="V35" s="11"/>
      <c r="W35" s="11"/>
    </row>
    <row r="36" customFormat="false" ht="15" hidden="false" customHeight="false" outlineLevel="0" collapsed="false">
      <c r="A36" s="7" t="n">
        <v>31</v>
      </c>
      <c r="B36" s="8" t="n">
        <v>45609</v>
      </c>
      <c r="C36" s="7" t="s">
        <v>108</v>
      </c>
      <c r="D36" s="7"/>
      <c r="E36" s="9" t="n">
        <v>229</v>
      </c>
      <c r="F36" s="7" t="s">
        <v>109</v>
      </c>
      <c r="G36" s="10" t="n">
        <f aca="false">IF(B36="","",($B$3-B36)/365.25)</f>
        <v>1.89459274469541</v>
      </c>
      <c r="H36" s="8" t="n">
        <f aca="false">IF(B36="","",EDATE(B36,12*$D$3))</f>
        <v>46704</v>
      </c>
      <c r="I36" s="7" t="str">
        <f aca="false">IF(H36="","",IF(H36&lt;=$B$3,"1 - Past threshold: resolve now",IF(H36&lt;=$F$3,"2 - Reaches threshold by next cutoff","3 - Not yet")))</f>
        <v>3 - Not yet</v>
      </c>
      <c r="J36" s="11"/>
      <c r="K36" s="11"/>
      <c r="L36" s="12"/>
      <c r="M36" s="11"/>
      <c r="N36" s="11"/>
      <c r="O36" s="11"/>
      <c r="P36" s="13"/>
      <c r="Q36" s="13"/>
      <c r="R36" s="13"/>
      <c r="S36" s="13"/>
      <c r="T36" s="9" t="str">
        <f aca="false">IF(COUNT(P36:S36)=0,"",ROUND(E36-N(P36)-N(Q36)-N(R36)-N(S36),2))</f>
        <v/>
      </c>
      <c r="U36" s="11"/>
      <c r="V36" s="11"/>
      <c r="W36" s="11"/>
    </row>
    <row r="37" customFormat="false" ht="15" hidden="false" customHeight="false" outlineLevel="0" collapsed="false">
      <c r="A37" s="7" t="n">
        <v>32</v>
      </c>
      <c r="B37" s="8" t="n">
        <v>45632</v>
      </c>
      <c r="C37" s="7" t="s">
        <v>110</v>
      </c>
      <c r="D37" s="7"/>
      <c r="E37" s="9" t="n">
        <v>176.25</v>
      </c>
      <c r="F37" s="7"/>
      <c r="G37" s="10" t="n">
        <f aca="false">IF(B37="","",($B$3-B37)/365.25)</f>
        <v>1.83162217659138</v>
      </c>
      <c r="H37" s="8" t="n">
        <f aca="false">IF(B37="","",EDATE(B37,12*$D$3))</f>
        <v>46727</v>
      </c>
      <c r="I37" s="7" t="str">
        <f aca="false">IF(H37="","",IF(H37&lt;=$B$3,"1 - Past threshold: resolve now",IF(H37&lt;=$F$3,"2 - Reaches threshold by next cutoff","3 - Not yet")))</f>
        <v>3 - Not yet</v>
      </c>
      <c r="J37" s="11"/>
      <c r="K37" s="11"/>
      <c r="L37" s="12"/>
      <c r="M37" s="11"/>
      <c r="N37" s="11"/>
      <c r="O37" s="11"/>
      <c r="P37" s="13"/>
      <c r="Q37" s="13"/>
      <c r="R37" s="13"/>
      <c r="S37" s="13"/>
      <c r="T37" s="9" t="str">
        <f aca="false">IF(COUNT(P37:S37)=0,"",ROUND(E37-N(P37)-N(Q37)-N(R37)-N(S37),2))</f>
        <v/>
      </c>
      <c r="U37" s="11"/>
      <c r="V37" s="11"/>
      <c r="W37" s="11"/>
    </row>
    <row r="38" customFormat="false" ht="15" hidden="false" customHeight="false" outlineLevel="0" collapsed="false">
      <c r="A38" s="7" t="n">
        <v>33</v>
      </c>
      <c r="B38" s="8" t="n">
        <v>45644</v>
      </c>
      <c r="C38" s="7" t="s">
        <v>111</v>
      </c>
      <c r="D38" s="7"/>
      <c r="E38" s="9" t="n">
        <v>165</v>
      </c>
      <c r="F38" s="7"/>
      <c r="G38" s="10" t="n">
        <f aca="false">IF(B38="","",($B$3-B38)/365.25)</f>
        <v>1.79876796714579</v>
      </c>
      <c r="H38" s="8" t="n">
        <f aca="false">IF(B38="","",EDATE(B38,12*$D$3))</f>
        <v>46739</v>
      </c>
      <c r="I38" s="7" t="str">
        <f aca="false">IF(H38="","",IF(H38&lt;=$B$3,"1 - Past threshold: resolve now",IF(H38&lt;=$F$3,"2 - Reaches threshold by next cutoff","3 - Not yet")))</f>
        <v>3 - Not yet</v>
      </c>
      <c r="J38" s="11"/>
      <c r="K38" s="11"/>
      <c r="L38" s="12"/>
      <c r="M38" s="11"/>
      <c r="N38" s="11"/>
      <c r="O38" s="11"/>
      <c r="P38" s="13"/>
      <c r="Q38" s="13"/>
      <c r="R38" s="13"/>
      <c r="S38" s="13"/>
      <c r="T38" s="9" t="str">
        <f aca="false">IF(COUNT(P38:S38)=0,"",ROUND(E38-N(P38)-N(Q38)-N(R38)-N(S38),2))</f>
        <v/>
      </c>
      <c r="U38" s="11"/>
      <c r="V38" s="11"/>
      <c r="W38" s="11"/>
    </row>
    <row r="39" customFormat="false" ht="15" hidden="false" customHeight="false" outlineLevel="0" collapsed="false">
      <c r="A39" s="7" t="n">
        <v>34</v>
      </c>
      <c r="B39" s="8" t="n">
        <v>45695</v>
      </c>
      <c r="C39" s="7" t="s">
        <v>112</v>
      </c>
      <c r="D39" s="7"/>
      <c r="E39" s="9" t="n">
        <v>195</v>
      </c>
      <c r="F39" s="7" t="s">
        <v>113</v>
      </c>
      <c r="G39" s="10" t="n">
        <f aca="false">IF(B39="","",($B$3-B39)/365.25)</f>
        <v>1.65913757700205</v>
      </c>
      <c r="H39" s="8" t="n">
        <f aca="false">IF(B39="","",EDATE(B39,12*$D$3))</f>
        <v>46790</v>
      </c>
      <c r="I39" s="7" t="str">
        <f aca="false">IF(H39="","",IF(H39&lt;=$B$3,"1 - Past threshold: resolve now",IF(H39&lt;=$F$3,"2 - Reaches threshold by next cutoff","3 - Not yet")))</f>
        <v>3 - Not yet</v>
      </c>
      <c r="J39" s="11"/>
      <c r="K39" s="11"/>
      <c r="L39" s="12"/>
      <c r="M39" s="11"/>
      <c r="N39" s="11"/>
      <c r="O39" s="11"/>
      <c r="P39" s="13"/>
      <c r="Q39" s="13"/>
      <c r="R39" s="13"/>
      <c r="S39" s="13"/>
      <c r="T39" s="9" t="str">
        <f aca="false">IF(COUNT(P39:S39)=0,"",ROUND(E39-N(P39)-N(Q39)-N(R39)-N(S39),2))</f>
        <v/>
      </c>
      <c r="U39" s="11"/>
      <c r="V39" s="11"/>
      <c r="W39" s="11"/>
    </row>
    <row r="40" customFormat="false" ht="15" hidden="false" customHeight="false" outlineLevel="0" collapsed="false">
      <c r="A40" s="7" t="n">
        <v>35</v>
      </c>
      <c r="B40" s="8" t="n">
        <v>45825</v>
      </c>
      <c r="C40" s="7" t="s">
        <v>114</v>
      </c>
      <c r="D40" s="7"/>
      <c r="E40" s="9" t="n">
        <v>2175</v>
      </c>
      <c r="F40" s="7" t="s">
        <v>115</v>
      </c>
      <c r="G40" s="10" t="n">
        <f aca="false">IF(B40="","",($B$3-B40)/365.25)</f>
        <v>1.30321697467488</v>
      </c>
      <c r="H40" s="8" t="n">
        <f aca="false">IF(B40="","",EDATE(B40,12*$D$3))</f>
        <v>46921</v>
      </c>
      <c r="I40" s="7" t="str">
        <f aca="false">IF(H40="","",IF(H40&lt;=$B$3,"1 - Past threshold: resolve now",IF(H40&lt;=$F$3,"2 - Reaches threshold by next cutoff","3 - Not yet")))</f>
        <v>3 - Not yet</v>
      </c>
      <c r="J40" s="11"/>
      <c r="K40" s="11"/>
      <c r="L40" s="12"/>
      <c r="M40" s="11"/>
      <c r="N40" s="11"/>
      <c r="O40" s="11"/>
      <c r="P40" s="13"/>
      <c r="Q40" s="13"/>
      <c r="R40" s="13"/>
      <c r="S40" s="13"/>
      <c r="T40" s="9" t="str">
        <f aca="false">IF(COUNT(P40:S40)=0,"",ROUND(E40-N(P40)-N(Q40)-N(R40)-N(S40),2))</f>
        <v/>
      </c>
      <c r="U40" s="11"/>
      <c r="V40" s="11"/>
      <c r="W40" s="11"/>
    </row>
    <row r="41" customFormat="false" ht="15" hidden="false" customHeight="false" outlineLevel="0" collapsed="false">
      <c r="A41" s="7" t="n">
        <v>36</v>
      </c>
      <c r="B41" s="8" t="n">
        <v>45873</v>
      </c>
      <c r="C41" s="7" t="s">
        <v>116</v>
      </c>
      <c r="D41" s="7"/>
      <c r="E41" s="9" t="n">
        <v>420</v>
      </c>
      <c r="F41" s="7" t="s">
        <v>117</v>
      </c>
      <c r="G41" s="10" t="n">
        <f aca="false">IF(B41="","",($B$3-B41)/365.25)</f>
        <v>1.17180013689254</v>
      </c>
      <c r="H41" s="8" t="n">
        <f aca="false">IF(B41="","",EDATE(B41,12*$D$3))</f>
        <v>46969</v>
      </c>
      <c r="I41" s="7" t="str">
        <f aca="false">IF(H41="","",IF(H41&lt;=$B$3,"1 - Past threshold: resolve now",IF(H41&lt;=$F$3,"2 - Reaches threshold by next cutoff","3 - Not yet")))</f>
        <v>3 - Not yet</v>
      </c>
      <c r="J41" s="11"/>
      <c r="K41" s="11"/>
      <c r="L41" s="12"/>
      <c r="M41" s="11"/>
      <c r="N41" s="11"/>
      <c r="O41" s="11"/>
      <c r="P41" s="13"/>
      <c r="Q41" s="13"/>
      <c r="R41" s="13"/>
      <c r="S41" s="13"/>
      <c r="T41" s="9" t="str">
        <f aca="false">IF(COUNT(P41:S41)=0,"",ROUND(E41-N(P41)-N(Q41)-N(R41)-N(S41),2))</f>
        <v/>
      </c>
      <c r="U41" s="11"/>
      <c r="V41" s="11"/>
      <c r="W41" s="11"/>
    </row>
    <row r="42" customFormat="false" ht="15" hidden="false" customHeight="false" outlineLevel="0" collapsed="false">
      <c r="A42" s="7" t="n">
        <v>37</v>
      </c>
      <c r="B42" s="8" t="n">
        <v>45930</v>
      </c>
      <c r="C42" s="7" t="s">
        <v>118</v>
      </c>
      <c r="D42" s="7"/>
      <c r="E42" s="9" t="n">
        <v>869.78</v>
      </c>
      <c r="F42" s="7"/>
      <c r="G42" s="10" t="n">
        <f aca="false">IF(B42="","",($B$3-B42)/365.25)</f>
        <v>1.01574264202601</v>
      </c>
      <c r="H42" s="8" t="n">
        <f aca="false">IF(B42="","",EDATE(B42,12*$D$3))</f>
        <v>47026</v>
      </c>
      <c r="I42" s="7" t="str">
        <f aca="false">IF(H42="","",IF(H42&lt;=$B$3,"1 - Past threshold: resolve now",IF(H42&lt;=$F$3,"2 - Reaches threshold by next cutoff","3 - Not yet")))</f>
        <v>3 - Not yet</v>
      </c>
      <c r="J42" s="11"/>
      <c r="K42" s="11"/>
      <c r="L42" s="12"/>
      <c r="M42" s="11"/>
      <c r="N42" s="11"/>
      <c r="O42" s="11"/>
      <c r="P42" s="13"/>
      <c r="Q42" s="13"/>
      <c r="R42" s="13"/>
      <c r="S42" s="13"/>
      <c r="T42" s="9" t="str">
        <f aca="false">IF(COUNT(P42:S42)=0,"",ROUND(E42-N(P42)-N(Q42)-N(R42)-N(S42),2))</f>
        <v/>
      </c>
      <c r="U42" s="11"/>
      <c r="V42" s="11"/>
      <c r="W42" s="11"/>
    </row>
    <row r="43" customFormat="false" ht="15" hidden="false" customHeight="false" outlineLevel="0" collapsed="false">
      <c r="A43" s="7" t="n">
        <v>38</v>
      </c>
      <c r="B43" s="8" t="n">
        <v>45966</v>
      </c>
      <c r="C43" s="7" t="s">
        <v>119</v>
      </c>
      <c r="D43" s="7"/>
      <c r="E43" s="9" t="n">
        <v>149</v>
      </c>
      <c r="F43" s="7"/>
      <c r="G43" s="10" t="n">
        <f aca="false">IF(B43="","",($B$3-B43)/365.25)</f>
        <v>0.917180013689254</v>
      </c>
      <c r="H43" s="8" t="n">
        <f aca="false">IF(B43="","",EDATE(B43,12*$D$3))</f>
        <v>47062</v>
      </c>
      <c r="I43" s="7" t="str">
        <f aca="false">IF(H43="","",IF(H43&lt;=$B$3,"1 - Past threshold: resolve now",IF(H43&lt;=$F$3,"2 - Reaches threshold by next cutoff","3 - Not yet")))</f>
        <v>3 - Not yet</v>
      </c>
      <c r="J43" s="11"/>
      <c r="K43" s="11"/>
      <c r="L43" s="12"/>
      <c r="M43" s="11"/>
      <c r="N43" s="11"/>
      <c r="O43" s="11"/>
      <c r="P43" s="13"/>
      <c r="Q43" s="13"/>
      <c r="R43" s="13"/>
      <c r="S43" s="13"/>
      <c r="T43" s="9" t="str">
        <f aca="false">IF(COUNT(P43:S43)=0,"",ROUND(E43-N(P43)-N(Q43)-N(R43)-N(S43),2))</f>
        <v/>
      </c>
      <c r="U43" s="11"/>
      <c r="V43" s="11"/>
      <c r="W43" s="11"/>
    </row>
    <row r="44" customFormat="false" ht="15" hidden="false" customHeight="false" outlineLevel="0" collapsed="false">
      <c r="A44" s="7" t="n">
        <v>39</v>
      </c>
      <c r="B44" s="8" t="n">
        <v>46079</v>
      </c>
      <c r="C44" s="7" t="s">
        <v>120</v>
      </c>
      <c r="D44" s="7" t="s">
        <v>121</v>
      </c>
      <c r="E44" s="9" t="n">
        <v>1397.5</v>
      </c>
      <c r="F44" s="7"/>
      <c r="G44" s="10" t="n">
        <f aca="false">IF(B44="","",($B$3-B44)/365.25)</f>
        <v>0.607802874743327</v>
      </c>
      <c r="H44" s="8" t="n">
        <f aca="false">IF(B44="","",EDATE(B44,12*$D$3))</f>
        <v>47175</v>
      </c>
      <c r="I44" s="7" t="str">
        <f aca="false">IF(H44="","",IF(H44&lt;=$B$3,"1 - Past threshold: resolve now",IF(H44&lt;=$F$3,"2 - Reaches threshold by next cutoff","3 - Not yet")))</f>
        <v>3 - Not yet</v>
      </c>
      <c r="J44" s="11"/>
      <c r="K44" s="11"/>
      <c r="L44" s="12"/>
      <c r="M44" s="11"/>
      <c r="N44" s="11"/>
      <c r="O44" s="11"/>
      <c r="P44" s="13"/>
      <c r="Q44" s="13"/>
      <c r="R44" s="13"/>
      <c r="S44" s="13"/>
      <c r="T44" s="9" t="str">
        <f aca="false">IF(COUNT(P44:S44)=0,"",ROUND(E44-N(P44)-N(Q44)-N(R44)-N(S44),2))</f>
        <v/>
      </c>
      <c r="U44" s="11"/>
      <c r="V44" s="11"/>
      <c r="W44" s="11"/>
    </row>
    <row r="45" customFormat="false" ht="15" hidden="false" customHeight="false" outlineLevel="0" collapsed="false">
      <c r="A45" s="7" t="n">
        <v>40</v>
      </c>
      <c r="B45" s="8" t="n">
        <v>46098</v>
      </c>
      <c r="C45" s="7" t="s">
        <v>122</v>
      </c>
      <c r="D45" s="7" t="s">
        <v>123</v>
      </c>
      <c r="E45" s="9" t="n">
        <v>750</v>
      </c>
      <c r="F45" s="7" t="s">
        <v>124</v>
      </c>
      <c r="G45" s="10" t="n">
        <f aca="false">IF(B45="","",($B$3-B45)/365.25)</f>
        <v>0.555783709787817</v>
      </c>
      <c r="H45" s="8" t="n">
        <f aca="false">IF(B45="","",EDATE(B45,12*$D$3))</f>
        <v>47194</v>
      </c>
      <c r="I45" s="7" t="str">
        <f aca="false">IF(H45="","",IF(H45&lt;=$B$3,"1 - Past threshold: resolve now",IF(H45&lt;=$F$3,"2 - Reaches threshold by next cutoff","3 - Not yet")))</f>
        <v>3 - Not yet</v>
      </c>
      <c r="J45" s="11"/>
      <c r="K45" s="11"/>
      <c r="L45" s="12"/>
      <c r="M45" s="11"/>
      <c r="N45" s="11"/>
      <c r="O45" s="11"/>
      <c r="P45" s="13"/>
      <c r="Q45" s="13"/>
      <c r="R45" s="13"/>
      <c r="S45" s="13"/>
      <c r="T45" s="9" t="str">
        <f aca="false">IF(COUNT(P45:S45)=0,"",ROUND(E45-N(P45)-N(Q45)-N(R45)-N(S45),2))</f>
        <v/>
      </c>
      <c r="U45" s="11"/>
      <c r="V45" s="11"/>
      <c r="W45" s="11"/>
    </row>
    <row r="46" customFormat="false" ht="15" hidden="false" customHeight="false" outlineLevel="0" collapsed="false">
      <c r="A46" s="7" t="n">
        <v>41</v>
      </c>
      <c r="B46" s="8" t="n">
        <v>46115</v>
      </c>
      <c r="C46" s="7" t="s">
        <v>125</v>
      </c>
      <c r="D46" s="7" t="s">
        <v>126</v>
      </c>
      <c r="E46" s="9" t="n">
        <v>13189.8</v>
      </c>
      <c r="F46" s="7" t="s">
        <v>127</v>
      </c>
      <c r="G46" s="10" t="n">
        <f aca="false">IF(B46="","",($B$3-B46)/365.25)</f>
        <v>0.509240246406571</v>
      </c>
      <c r="H46" s="8" t="n">
        <f aca="false">IF(B46="","",EDATE(B46,12*$D$3))</f>
        <v>47211</v>
      </c>
      <c r="I46" s="7" t="str">
        <f aca="false">IF(H46="","",IF(H46&lt;=$B$3,"1 - Past threshold: resolve now",IF(H46&lt;=$F$3,"2 - Reaches threshold by next cutoff","3 - Not yet")))</f>
        <v>3 - Not yet</v>
      </c>
      <c r="J46" s="11"/>
      <c r="K46" s="11"/>
      <c r="L46" s="12"/>
      <c r="M46" s="11"/>
      <c r="N46" s="11"/>
      <c r="O46" s="11"/>
      <c r="P46" s="13"/>
      <c r="Q46" s="13"/>
      <c r="R46" s="13"/>
      <c r="S46" s="13"/>
      <c r="T46" s="9" t="str">
        <f aca="false">IF(COUNT(P46:S46)=0,"",ROUND(E46-N(P46)-N(Q46)-N(R46)-N(S46),2))</f>
        <v/>
      </c>
      <c r="U46" s="11"/>
      <c r="V46" s="11"/>
      <c r="W46" s="11"/>
    </row>
    <row r="47" customFormat="false" ht="15" hidden="false" customHeight="false" outlineLevel="0" collapsed="false">
      <c r="A47" s="7" t="n">
        <v>42</v>
      </c>
      <c r="B47" s="8" t="n">
        <v>46141</v>
      </c>
      <c r="C47" s="7" t="s">
        <v>128</v>
      </c>
      <c r="D47" s="7" t="s">
        <v>129</v>
      </c>
      <c r="E47" s="9" t="n">
        <v>445.5</v>
      </c>
      <c r="F47" s="7" t="s">
        <v>130</v>
      </c>
      <c r="G47" s="10" t="n">
        <f aca="false">IF(B47="","",($B$3-B47)/365.25)</f>
        <v>0.438056125941136</v>
      </c>
      <c r="H47" s="8" t="n">
        <f aca="false">IF(B47="","",EDATE(B47,12*$D$3))</f>
        <v>47237</v>
      </c>
      <c r="I47" s="7" t="str">
        <f aca="false">IF(H47="","",IF(H47&lt;=$B$3,"1 - Past threshold: resolve now",IF(H47&lt;=$F$3,"2 - Reaches threshold by next cutoff","3 - Not yet")))</f>
        <v>3 - Not yet</v>
      </c>
      <c r="J47" s="11"/>
      <c r="K47" s="11"/>
      <c r="L47" s="12"/>
      <c r="M47" s="11"/>
      <c r="N47" s="11"/>
      <c r="O47" s="11"/>
      <c r="P47" s="13"/>
      <c r="Q47" s="13"/>
      <c r="R47" s="13"/>
      <c r="S47" s="13"/>
      <c r="T47" s="9" t="str">
        <f aca="false">IF(COUNT(P47:S47)=0,"",ROUND(E47-N(P47)-N(Q47)-N(R47)-N(S47),2))</f>
        <v/>
      </c>
      <c r="U47" s="11"/>
      <c r="V47" s="11"/>
      <c r="W47" s="11"/>
    </row>
    <row r="48" customFormat="false" ht="15" hidden="false" customHeight="false" outlineLevel="0" collapsed="false">
      <c r="A48" s="7" t="n">
        <v>43</v>
      </c>
      <c r="B48" s="8" t="n">
        <v>46143</v>
      </c>
      <c r="C48" s="7" t="s">
        <v>131</v>
      </c>
      <c r="D48" s="7"/>
      <c r="E48" s="9" t="n">
        <v>1100</v>
      </c>
      <c r="F48" s="7" t="s">
        <v>132</v>
      </c>
      <c r="G48" s="10" t="n">
        <f aca="false">IF(B48="","",($B$3-B48)/365.25)</f>
        <v>0.432580424366872</v>
      </c>
      <c r="H48" s="8" t="n">
        <f aca="false">IF(B48="","",EDATE(B48,12*$D$3))</f>
        <v>47239</v>
      </c>
      <c r="I48" s="7" t="str">
        <f aca="false">IF(H48="","",IF(H48&lt;=$B$3,"1 - Past threshold: resolve now",IF(H48&lt;=$F$3,"2 - Reaches threshold by next cutoff","3 - Not yet")))</f>
        <v>3 - Not yet</v>
      </c>
      <c r="J48" s="11"/>
      <c r="K48" s="11"/>
      <c r="L48" s="12"/>
      <c r="M48" s="11"/>
      <c r="N48" s="11"/>
      <c r="O48" s="11"/>
      <c r="P48" s="13"/>
      <c r="Q48" s="13"/>
      <c r="R48" s="13"/>
      <c r="S48" s="13"/>
      <c r="T48" s="9" t="str">
        <f aca="false">IF(COUNT(P48:S48)=0,"",ROUND(E48-N(P48)-N(Q48)-N(R48)-N(S48),2))</f>
        <v/>
      </c>
      <c r="U48" s="11"/>
      <c r="V48" s="11"/>
      <c r="W48" s="11"/>
    </row>
    <row r="49" customFormat="false" ht="15" hidden="false" customHeight="false" outlineLevel="0" collapsed="false">
      <c r="A49" s="7" t="n">
        <v>44</v>
      </c>
      <c r="B49" s="8" t="n">
        <v>46175</v>
      </c>
      <c r="C49" s="7" t="s">
        <v>133</v>
      </c>
      <c r="D49" s="7" t="s">
        <v>134</v>
      </c>
      <c r="E49" s="9" t="n">
        <v>600</v>
      </c>
      <c r="F49" s="7" t="s">
        <v>135</v>
      </c>
      <c r="G49" s="10" t="n">
        <f aca="false">IF(B49="","",($B$3-B49)/365.25)</f>
        <v>0.344969199178645</v>
      </c>
      <c r="H49" s="8" t="n">
        <f aca="false">IF(B49="","",EDATE(B49,12*$D$3))</f>
        <v>47271</v>
      </c>
      <c r="I49" s="7" t="str">
        <f aca="false">IF(H49="","",IF(H49&lt;=$B$3,"1 - Past threshold: resolve now",IF(H49&lt;=$F$3,"2 - Reaches threshold by next cutoff","3 - Not yet")))</f>
        <v>3 - Not yet</v>
      </c>
      <c r="J49" s="11"/>
      <c r="K49" s="11"/>
      <c r="L49" s="12"/>
      <c r="M49" s="11"/>
      <c r="N49" s="11"/>
      <c r="O49" s="11"/>
      <c r="P49" s="13"/>
      <c r="Q49" s="13"/>
      <c r="R49" s="13"/>
      <c r="S49" s="13"/>
      <c r="T49" s="9" t="str">
        <f aca="false">IF(COUNT(P49:S49)=0,"",ROUND(E49-N(P49)-N(Q49)-N(R49)-N(S49),2))</f>
        <v/>
      </c>
      <c r="U49" s="11"/>
      <c r="V49" s="11"/>
      <c r="W49" s="11"/>
    </row>
    <row r="50" customFormat="false" ht="15" hidden="false" customHeight="false" outlineLevel="0" collapsed="false">
      <c r="A50" s="7" t="n">
        <v>45</v>
      </c>
      <c r="B50" s="8" t="n">
        <v>46175</v>
      </c>
      <c r="C50" s="7" t="s">
        <v>136</v>
      </c>
      <c r="D50" s="7" t="s">
        <v>137</v>
      </c>
      <c r="E50" s="9" t="n">
        <v>600</v>
      </c>
      <c r="F50" s="7" t="s">
        <v>135</v>
      </c>
      <c r="G50" s="10" t="n">
        <f aca="false">IF(B50="","",($B$3-B50)/365.25)</f>
        <v>0.344969199178645</v>
      </c>
      <c r="H50" s="8" t="n">
        <f aca="false">IF(B50="","",EDATE(B50,12*$D$3))</f>
        <v>47271</v>
      </c>
      <c r="I50" s="7" t="str">
        <f aca="false">IF(H50="","",IF(H50&lt;=$B$3,"1 - Past threshold: resolve now",IF(H50&lt;=$F$3,"2 - Reaches threshold by next cutoff","3 - Not yet")))</f>
        <v>3 - Not yet</v>
      </c>
      <c r="J50" s="11"/>
      <c r="K50" s="11"/>
      <c r="L50" s="12"/>
      <c r="M50" s="11"/>
      <c r="N50" s="11"/>
      <c r="O50" s="11"/>
      <c r="P50" s="13"/>
      <c r="Q50" s="13"/>
      <c r="R50" s="13"/>
      <c r="S50" s="13"/>
      <c r="T50" s="9" t="str">
        <f aca="false">IF(COUNT(P50:S50)=0,"",ROUND(E50-N(P50)-N(Q50)-N(R50)-N(S50),2))</f>
        <v/>
      </c>
      <c r="U50" s="11"/>
      <c r="V50" s="11"/>
      <c r="W50" s="11"/>
    </row>
    <row r="51" customFormat="false" ht="15" hidden="false" customHeight="false" outlineLevel="0" collapsed="false">
      <c r="A51" s="7" t="n">
        <v>46</v>
      </c>
      <c r="B51" s="8" t="n">
        <v>46190</v>
      </c>
      <c r="C51" s="7" t="s">
        <v>138</v>
      </c>
      <c r="D51" s="7" t="s">
        <v>139</v>
      </c>
      <c r="E51" s="9" t="n">
        <v>10236.2</v>
      </c>
      <c r="F51" s="7" t="s">
        <v>140</v>
      </c>
      <c r="G51" s="10" t="n">
        <f aca="false">IF(B51="","",($B$3-B51)/365.25)</f>
        <v>0.303901437371663</v>
      </c>
      <c r="H51" s="8" t="n">
        <f aca="false">IF(B51="","",EDATE(B51,12*$D$3))</f>
        <v>47286</v>
      </c>
      <c r="I51" s="7" t="str">
        <f aca="false">IF(H51="","",IF(H51&lt;=$B$3,"1 - Past threshold: resolve now",IF(H51&lt;=$F$3,"2 - Reaches threshold by next cutoff","3 - Not yet")))</f>
        <v>3 - Not yet</v>
      </c>
      <c r="J51" s="11"/>
      <c r="K51" s="11"/>
      <c r="L51" s="12"/>
      <c r="M51" s="11"/>
      <c r="N51" s="11"/>
      <c r="O51" s="11"/>
      <c r="P51" s="13"/>
      <c r="Q51" s="13"/>
      <c r="R51" s="13"/>
      <c r="S51" s="13"/>
      <c r="T51" s="9" t="str">
        <f aca="false">IF(COUNT(P51:S51)=0,"",ROUND(E51-N(P51)-N(Q51)-N(R51)-N(S51),2))</f>
        <v/>
      </c>
      <c r="U51" s="11"/>
      <c r="V51" s="11"/>
      <c r="W51" s="11"/>
    </row>
    <row r="52" customFormat="false" ht="15" hidden="false" customHeight="false" outlineLevel="0" collapsed="false">
      <c r="A52" s="7" t="n">
        <v>47</v>
      </c>
      <c r="B52" s="8" t="n">
        <v>46197</v>
      </c>
      <c r="C52" s="7"/>
      <c r="D52" s="7" t="s">
        <v>141</v>
      </c>
      <c r="E52" s="9" t="n">
        <v>600</v>
      </c>
      <c r="F52" s="7" t="s">
        <v>142</v>
      </c>
      <c r="G52" s="10" t="n">
        <f aca="false">IF(B52="","",($B$3-B52)/365.25)</f>
        <v>0.284736481861739</v>
      </c>
      <c r="H52" s="8" t="n">
        <f aca="false">IF(B52="","",EDATE(B52,12*$D$3))</f>
        <v>47293</v>
      </c>
      <c r="I52" s="7" t="str">
        <f aca="false">IF(H52="","",IF(H52&lt;=$B$3,"1 - Past threshold: resolve now",IF(H52&lt;=$F$3,"2 - Reaches threshold by next cutoff","3 - Not yet")))</f>
        <v>3 - Not yet</v>
      </c>
      <c r="J52" s="11"/>
      <c r="K52" s="11"/>
      <c r="L52" s="12"/>
      <c r="M52" s="11"/>
      <c r="N52" s="11"/>
      <c r="O52" s="11"/>
      <c r="P52" s="13"/>
      <c r="Q52" s="13"/>
      <c r="R52" s="13"/>
      <c r="S52" s="13"/>
      <c r="T52" s="9" t="str">
        <f aca="false">IF(COUNT(P52:S52)=0,"",ROUND(E52-N(P52)-N(Q52)-N(R52)-N(S52),2))</f>
        <v/>
      </c>
      <c r="U52" s="11"/>
      <c r="V52" s="11"/>
      <c r="W52" s="11"/>
    </row>
    <row r="53" customFormat="false" ht="15" hidden="false" customHeight="false" outlineLevel="0" collapsed="false">
      <c r="A53" s="7" t="n">
        <v>48</v>
      </c>
      <c r="B53" s="8" t="n">
        <v>46202</v>
      </c>
      <c r="C53" s="7" t="s">
        <v>143</v>
      </c>
      <c r="D53" s="7" t="s">
        <v>144</v>
      </c>
      <c r="E53" s="9" t="n">
        <v>1600</v>
      </c>
      <c r="F53" s="7"/>
      <c r="G53" s="10" t="n">
        <f aca="false">IF(B53="","",($B$3-B53)/365.25)</f>
        <v>0.271047227926078</v>
      </c>
      <c r="H53" s="8" t="n">
        <f aca="false">IF(B53="","",EDATE(B53,12*$D$3))</f>
        <v>47298</v>
      </c>
      <c r="I53" s="7" t="str">
        <f aca="false">IF(H53="","",IF(H53&lt;=$B$3,"1 - Past threshold: resolve now",IF(H53&lt;=$F$3,"2 - Reaches threshold by next cutoff","3 - Not yet")))</f>
        <v>3 - Not yet</v>
      </c>
      <c r="J53" s="11"/>
      <c r="K53" s="11"/>
      <c r="L53" s="12"/>
      <c r="M53" s="11"/>
      <c r="N53" s="11"/>
      <c r="O53" s="11"/>
      <c r="P53" s="13"/>
      <c r="Q53" s="13"/>
      <c r="R53" s="13"/>
      <c r="S53" s="13"/>
      <c r="T53" s="9" t="str">
        <f aca="false">IF(COUNT(P53:S53)=0,"",ROUND(E53-N(P53)-N(Q53)-N(R53)-N(S53),2))</f>
        <v/>
      </c>
      <c r="U53" s="11"/>
      <c r="V53" s="11"/>
      <c r="W53" s="11"/>
    </row>
    <row r="54" customFormat="false" ht="15" hidden="false" customHeight="false" outlineLevel="0" collapsed="false">
      <c r="A54" s="7" t="n">
        <v>49</v>
      </c>
      <c r="B54" s="8" t="n">
        <v>46245</v>
      </c>
      <c r="C54" s="7" t="s">
        <v>145</v>
      </c>
      <c r="D54" s="7" t="s">
        <v>146</v>
      </c>
      <c r="E54" s="9" t="n">
        <v>2950</v>
      </c>
      <c r="F54" s="7"/>
      <c r="G54" s="10" t="n">
        <f aca="false">IF(B54="","",($B$3-B54)/365.25)</f>
        <v>0.153319644079398</v>
      </c>
      <c r="H54" s="8" t="n">
        <f aca="false">IF(B54="","",EDATE(B54,12*$D$3))</f>
        <v>47341</v>
      </c>
      <c r="I54" s="7" t="str">
        <f aca="false">IF(H54="","",IF(H54&lt;=$B$3,"1 - Past threshold: resolve now",IF(H54&lt;=$F$3,"2 - Reaches threshold by next cutoff","3 - Not yet")))</f>
        <v>3 - Not yet</v>
      </c>
      <c r="J54" s="11"/>
      <c r="K54" s="11"/>
      <c r="L54" s="12"/>
      <c r="M54" s="11"/>
      <c r="N54" s="11"/>
      <c r="O54" s="11"/>
      <c r="P54" s="13"/>
      <c r="Q54" s="13"/>
      <c r="R54" s="13"/>
      <c r="S54" s="13"/>
      <c r="T54" s="9" t="str">
        <f aca="false">IF(COUNT(P54:S54)=0,"",ROUND(E54-N(P54)-N(Q54)-N(R54)-N(S54),2))</f>
        <v/>
      </c>
      <c r="U54" s="11"/>
      <c r="V54" s="11"/>
      <c r="W54" s="11"/>
    </row>
    <row r="55" customFormat="false" ht="15" hidden="false" customHeight="false" outlineLevel="0" collapsed="false">
      <c r="A55" s="7" t="n">
        <v>50</v>
      </c>
      <c r="B55" s="8" t="n">
        <v>46258</v>
      </c>
      <c r="C55" s="7" t="s">
        <v>147</v>
      </c>
      <c r="D55" s="7" t="s">
        <v>148</v>
      </c>
      <c r="E55" s="9" t="n">
        <v>855</v>
      </c>
      <c r="F55" s="7"/>
      <c r="G55" s="10" t="n">
        <f aca="false">IF(B55="","",($B$3-B55)/365.25)</f>
        <v>0.11772758384668</v>
      </c>
      <c r="H55" s="8" t="n">
        <f aca="false">IF(B55="","",EDATE(B55,12*$D$3))</f>
        <v>47354</v>
      </c>
      <c r="I55" s="7" t="str">
        <f aca="false">IF(H55="","",IF(H55&lt;=$B$3,"1 - Past threshold: resolve now",IF(H55&lt;=$F$3,"2 - Reaches threshold by next cutoff","3 - Not yet")))</f>
        <v>3 - Not yet</v>
      </c>
      <c r="J55" s="11"/>
      <c r="K55" s="11"/>
      <c r="L55" s="12"/>
      <c r="M55" s="11"/>
      <c r="N55" s="11"/>
      <c r="O55" s="11"/>
      <c r="P55" s="13"/>
      <c r="Q55" s="13"/>
      <c r="R55" s="13"/>
      <c r="S55" s="13"/>
      <c r="T55" s="9" t="str">
        <f aca="false">IF(COUNT(P55:S55)=0,"",ROUND(E55-N(P55)-N(Q55)-N(R55)-N(S55),2))</f>
        <v/>
      </c>
      <c r="U55" s="11"/>
      <c r="V55" s="11"/>
      <c r="W55" s="11"/>
    </row>
    <row r="56" customFormat="false" ht="15" hidden="false" customHeight="false" outlineLevel="0" collapsed="false">
      <c r="A56" s="14" t="s">
        <v>149</v>
      </c>
      <c r="B56" s="15"/>
      <c r="C56" s="15"/>
      <c r="D56" s="15"/>
      <c r="E56" s="16" t="n">
        <f aca="false">SUM(E6:E55)</f>
        <v>55528.45</v>
      </c>
      <c r="F56" s="15"/>
      <c r="G56" s="15"/>
      <c r="H56" s="15"/>
      <c r="I56" s="15"/>
      <c r="J56" s="15"/>
      <c r="K56" s="15"/>
      <c r="L56" s="15"/>
      <c r="M56" s="15"/>
      <c r="N56" s="15"/>
      <c r="O56" s="15"/>
      <c r="P56" s="16" t="n">
        <f aca="false">SUM(P6:P55)</f>
        <v>0</v>
      </c>
      <c r="Q56" s="16" t="n">
        <f aca="false">SUM(Q6:Q55)</f>
        <v>0</v>
      </c>
      <c r="R56" s="16" t="n">
        <f aca="false">SUM(R6:R55)</f>
        <v>0</v>
      </c>
      <c r="S56" s="16" t="n">
        <f aca="false">SUM(S6:S55)</f>
        <v>0</v>
      </c>
      <c r="T56" s="15"/>
      <c r="U56" s="15"/>
      <c r="V56" s="15"/>
      <c r="W56" s="15"/>
    </row>
    <row r="58" customFormat="false" ht="15" hidden="false" customHeight="false" outlineLevel="0" collapsed="false">
      <c r="A58" s="17" t="s">
        <v>150</v>
      </c>
      <c r="E58" s="18" t="n">
        <f aca="false">SUMIF(I6:I55,"1 -*",E6:E55)</f>
        <v>1858</v>
      </c>
    </row>
    <row r="59" customFormat="false" ht="15" hidden="false" customHeight="false" outlineLevel="0" collapsed="false">
      <c r="A59" s="17" t="s">
        <v>151</v>
      </c>
      <c r="E59" s="18" t="n">
        <f aca="false">SUMIF(I6:I55,"2 -*",E6:E55)</f>
        <v>2433.5</v>
      </c>
    </row>
    <row r="60" customFormat="false" ht="15" hidden="false" customHeight="false" outlineLevel="0" collapsed="false">
      <c r="A60" s="17" t="s">
        <v>152</v>
      </c>
      <c r="E60" s="4" t="n">
        <f aca="false">COUNTA(V6:V55)</f>
        <v>0</v>
      </c>
    </row>
  </sheetData>
  <autoFilter ref="A5:W55"/>
  <mergeCells count="1">
    <mergeCell ref="A2:W2"/>
  </mergeCells>
  <conditionalFormatting sqref="A6:I55">
    <cfRule type="expression" priority="2" aboveAverage="0" equalAverage="0" bottom="0" percent="0" rank="0" text="" dxfId="7">
      <formula>LEFT($I6,1)="1"</formula>
    </cfRule>
    <cfRule type="expression" priority="3" aboveAverage="0" equalAverage="0" bottom="0" percent="0" rank="0" text="" dxfId="8">
      <formula>LEFT($I6,1)="2"</formula>
    </cfRule>
  </conditionalFormatting>
  <dataValidations count="2">
    <dataValidation allowBlank="true" errorStyle="stop" operator="between" showDropDown="false" showErrorMessage="false" showInputMessage="false" sqref="U6:U206" type="list">
      <formula1>"Disbursement Authorization,Closing Disclosure,Both,None found"</formula1>
      <formula2>0</formula2>
    </dataValidation>
    <dataValidation allowBlank="true" errorStyle="stop" operator="between" showDropDown="false" showErrorMessage="false" showInputMessage="false" sqref="V6:V206" type="list">
      <formula1>"Matched - pay agent,Company fee - confirmed,Refund to payer - not ours,Agent unknown - could not identify,Already booked in Sage,Legal hold,Other - see Notes"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4" min="2" style="0" width="22"/>
  </cols>
  <sheetData>
    <row r="1" customFormat="false" ht="17.35" hidden="false" customHeight="false" outlineLevel="0" collapsed="false">
      <c r="A1" s="1" t="s">
        <v>153</v>
      </c>
    </row>
    <row r="3" customFormat="false" ht="15" hidden="false" customHeight="false" outlineLevel="0" collapsed="false">
      <c r="A3" s="4" t="s">
        <v>154</v>
      </c>
      <c r="B3" s="19" t="s">
        <v>155</v>
      </c>
    </row>
    <row r="4" customFormat="false" ht="15" hidden="false" customHeight="false" outlineLevel="0" collapsed="false">
      <c r="A4" s="4" t="s">
        <v>156</v>
      </c>
      <c r="B4" s="19" t="s">
        <v>157</v>
      </c>
    </row>
    <row r="5" customFormat="false" ht="15" hidden="false" customHeight="false" outlineLevel="0" collapsed="false">
      <c r="A5" s="4" t="s">
        <v>158</v>
      </c>
      <c r="B5" s="19" t="n">
        <v>3</v>
      </c>
    </row>
    <row r="6" customFormat="false" ht="15" hidden="false" customHeight="false" outlineLevel="0" collapsed="false">
      <c r="A6" s="4" t="s">
        <v>159</v>
      </c>
      <c r="B6" s="20" t="n">
        <v>46447</v>
      </c>
    </row>
    <row r="7" customFormat="false" ht="15" hidden="false" customHeight="false" outlineLevel="0" collapsed="false">
      <c r="A7" s="4" t="s">
        <v>160</v>
      </c>
      <c r="B7" s="21" t="n">
        <v>46301</v>
      </c>
    </row>
    <row r="8" customFormat="false" ht="15" hidden="false" customHeight="false" outlineLevel="0" collapsed="false">
      <c r="A8" s="4" t="s">
        <v>161</v>
      </c>
      <c r="B8" s="21"/>
    </row>
    <row r="9" customFormat="false" ht="31.5" hidden="false" customHeight="true" outlineLevel="0" collapsed="false">
      <c r="A9" s="4" t="s">
        <v>162</v>
      </c>
      <c r="B9" s="2" t="s">
        <v>163</v>
      </c>
      <c r="C9" s="2"/>
      <c r="D9" s="2"/>
    </row>
    <row r="11" customFormat="false" ht="31.5" hidden="false" customHeight="true" outlineLevel="0" collapsed="false">
      <c r="A11" s="2" t="s">
        <v>164</v>
      </c>
      <c r="B11" s="2"/>
      <c r="C11" s="2"/>
      <c r="D11" s="2"/>
    </row>
  </sheetData>
  <mergeCells count="2">
    <mergeCell ref="B9:D9"/>
    <mergeCell ref="A11:D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2026-10-06T19:59:38Z</dcterms:created>
  <dc:creator>openpyxl</dc:creator>
  <dc:description/>
  <dc:language>en-US</dc:language>
  <cp:lastModifiedBy/>
  <dcterms:modified xsi:type="dcterms:W3CDTF">2026-10-06T19:59:38Z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