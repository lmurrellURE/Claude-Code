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tems" sheetId="2" state="visible" r:id="rId4"/>
    <sheet name="Settings" sheetId="3" state="visible" r:id="rId5"/>
  </sheets>
  <definedNames>
    <definedName function="false" hidden="true" localSheetId="1" name="_xlnm._FilterDatabase" vbProcedure="false">Items!$A$5:$W$39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<sst xmlns="http://schemas.openxmlformats.org/spreadsheetml/2006/main" count="125" uniqueCount="118">
  <si>
    <t xml:space="preserve">Unapplied deposits review - Philadelphia</t>
  </si>
  <si>
    <t xml:space="preserve">Prepared 10/6/2026 by Financial Reporting and Analysis. Please complete the yellow columns on the Items tab and return the workbook by the date on the Settings tab.</t>
  </si>
  <si>
    <t xml:space="preserve">What this is</t>
  </si>
  <si>
    <t xml:space="preserve">We are holding money from closings that was never matched to a transaction. Some of it belongs to agents or to the people who sent it, and state law says that after a set number of years we must either pay it to them or hand it to the state. Once a year, in December, Financial Reporting and Analysis finds the items that have reached that point and clears them; everything younger keeps being matched as usual.</t>
  </si>
  <si>
    <t xml:space="preserve">Why it matters</t>
  </si>
  <si>
    <t xml:space="preserve">This money belongs to our agents and the people who sent it. Every state we operate in can audit ten years back and charge interest and penalties on anything held past its deadline, and the only thing that gets those waived is showing we had a written process, ran it on schedule and filed on time.</t>
  </si>
  <si>
    <t xml:space="preserve">What we need from you</t>
  </si>
  <si>
    <t xml:space="preserve">1. Work the Items tab oldest first. Priority 1 items are already past the threshold; Priority 2 items will reach it by the next state cutoff. Do those first, then the rest as time allows.</t>
  </si>
  <si>
    <t xml:space="preserve">2. For each item, find the transaction in Paperless Pipeline and enter the file number, property address and closing date.</t>
  </si>
  <si>
    <t xml:space="preserve">3. Enter the agent's name and last-known mailing address (city and state). The state matters: it can change which state's rules apply.</t>
  </si>
  <si>
    <t xml:space="preserve">4. Enter the split from the Disbursement Authorization or Closing Disclosure: company fee, E&amp;O, agent share. If the document cannot be found, leave the split blank and say so in Notes; the Director will estimate it as the check less the standard fee.</t>
  </si>
  <si>
    <t xml:space="preserve">5. If the money is not ours (wrong office, duplicate, unknown), enter the amount to refund in the Refund column and name who it goes back to in Notes.</t>
  </si>
  <si>
    <t xml:space="preserve">6. Pick a Status for every item and attach or link the supporting document. The Check column must read 0.00 once the split is entered.</t>
  </si>
  <si>
    <t xml:space="preserve">What not to do</t>
  </si>
  <si>
    <t xml:space="preserve">Do not pay an agent, refund a payer, or write anything off from this list. Financial Reporting and Analysis makes every entry after the review. Do not delete rows; mark the Status instead. Items already booked in Sage since the extract date: set Status to 'Already booked in Sage' and give the date.</t>
  </si>
  <si>
    <t xml:space="preserve">The rule applied to this office</t>
  </si>
  <si>
    <t xml:space="preserve">The holder entity for this office was formed in Texas, so Texas rules apply where the agent's address is unknown: 3 years from the deposit date. The next Texas report cutoff is 03/01/2027. If the agent's last-known address is in Pennsylvania, Pennsylvania law applies instead (2 years); send the address and the Director will reassess.</t>
  </si>
  <si>
    <t xml:space="preserve">Fee amounts for this office, for reference: $595 or $995 sale fee per side plus $49 E&amp;O ($110 enhanced E&amp;O on personal sales); also $495, $295. A check at exactly a fee amount is the company's fee and needs no agent split; confirm it and set Status to 'Company fee - confirmed'.</t>
  </si>
  <si>
    <t xml:space="preserve">Questions: Director of Financial Reporting and Analysis.</t>
  </si>
  <si>
    <t xml:space="preserve">Philadelphia - unapplied deposits as of 10/06/2026</t>
  </si>
  <si>
    <t xml:space="preserve">Columns A-F come from the cash requirements workbook. G-I are formulas. Yellow columns J-W are for the office to complete. Priority: 1 = past the dormancy threshold today; 2 = reaches it by the next state cutoff; 3 = not yet.</t>
  </si>
  <si>
    <t xml:space="preserve">As-of date</t>
  </si>
  <si>
    <t xml:space="preserve">Period (yrs)</t>
  </si>
  <si>
    <t xml:space="preserve">Next cutoff</t>
  </si>
  <si>
    <t xml:space="preserve">#</t>
  </si>
  <si>
    <t xml:space="preserve">Deposit date</t>
  </si>
  <si>
    <t xml:space="preserve">Check #</t>
  </si>
  <si>
    <t xml:space="preserve">Payer / check writer</t>
  </si>
  <si>
    <t xml:space="preserve">Amount</t>
  </si>
  <si>
    <t xml:space="preserve">Memo from cash workbook</t>
  </si>
  <si>
    <t xml:space="preserve">Age (yrs)</t>
  </si>
  <si>
    <t xml:space="preserve">Dormant on</t>
  </si>
  <si>
    <t xml:space="preserve">Priority</t>
  </si>
  <si>
    <t xml:space="preserve">Paperless Pipeline file / transaction #</t>
  </si>
  <si>
    <t xml:space="preserve">Property address</t>
  </si>
  <si>
    <t xml:space="preserve">Closing date</t>
  </si>
  <si>
    <t xml:space="preserve">Agent name</t>
  </si>
  <si>
    <t xml:space="preserve">Agent last-known mailing address (city, state)</t>
  </si>
  <si>
    <t xml:space="preserve">Agent address state (2 letters)</t>
  </si>
  <si>
    <t xml:space="preserve">Company fee $</t>
  </si>
  <si>
    <t xml:space="preserve">E&amp;O $</t>
  </si>
  <si>
    <t xml:space="preserve">Agent share $</t>
  </si>
  <si>
    <t xml:space="preserve">Refund to payer $ (not ours)</t>
  </si>
  <si>
    <t xml:space="preserve">Check (should be 0.00)</t>
  </si>
  <si>
    <t xml:space="preserve">Supporting document</t>
  </si>
  <si>
    <t xml:space="preserve">Status</t>
  </si>
  <si>
    <t xml:space="preserve">Notes</t>
  </si>
  <si>
    <t xml:space="preserve">2712000749</t>
  </si>
  <si>
    <t xml:space="preserve">Remitted by Malik Dontal McGill</t>
  </si>
  <si>
    <t xml:space="preserve">44511</t>
  </si>
  <si>
    <t xml:space="preserve">6126 Larchwood St</t>
  </si>
  <si>
    <t xml:space="preserve">44512</t>
  </si>
  <si>
    <t xml:space="preserve">126415</t>
  </si>
  <si>
    <t xml:space="preserve">EXP Realty (2219 Rimland Dr)</t>
  </si>
  <si>
    <t xml:space="preserve">15119</t>
  </si>
  <si>
    <t xml:space="preserve">Penn Land Transfer - Broker fees</t>
  </si>
  <si>
    <t xml:space="preserve">15121</t>
  </si>
  <si>
    <t xml:space="preserve">Penn Land Transfer - E&amp;O</t>
  </si>
  <si>
    <t xml:space="preserve">Wire 7/12/24</t>
  </si>
  <si>
    <t xml:space="preserve">1233 W VENANGO</t>
  </si>
  <si>
    <t xml:space="preserve">2887</t>
  </si>
  <si>
    <t xml:space="preserve">1324 Locust St 213</t>
  </si>
  <si>
    <t xml:space="preserve">2900</t>
  </si>
  <si>
    <t xml:space="preserve">5437 Baltimore Ave 1</t>
  </si>
  <si>
    <t xml:space="preserve">518928999</t>
  </si>
  <si>
    <t xml:space="preserve">Citizens</t>
  </si>
  <si>
    <t xml:space="preserve">417459</t>
  </si>
  <si>
    <t xml:space="preserve">Loandepot.com LLC</t>
  </si>
  <si>
    <t xml:space="preserve">417053</t>
  </si>
  <si>
    <t xml:space="preserve">Commissions</t>
  </si>
  <si>
    <t xml:space="preserve">1331</t>
  </si>
  <si>
    <t xml:space="preserve">241</t>
  </si>
  <si>
    <t xml:space="preserve">NJ Brokers License</t>
  </si>
  <si>
    <t xml:space="preserve">15907</t>
  </si>
  <si>
    <t xml:space="preserve">PA Land Settlement Services</t>
  </si>
  <si>
    <t xml:space="preserve">15908</t>
  </si>
  <si>
    <t xml:space="preserve">15910</t>
  </si>
  <si>
    <t xml:space="preserve">wire</t>
  </si>
  <si>
    <t xml:space="preserve">13836</t>
  </si>
  <si>
    <t xml:space="preserve">9 SUMMIT AVE</t>
  </si>
  <si>
    <t xml:space="preserve">13835</t>
  </si>
  <si>
    <t xml:space="preserve">conveyance</t>
  </si>
  <si>
    <t xml:space="preserve">5282446</t>
  </si>
  <si>
    <t xml:space="preserve">Dominique Hill</t>
  </si>
  <si>
    <t xml:space="preserve">169</t>
  </si>
  <si>
    <t xml:space="preserve">E&amp;O</t>
  </si>
  <si>
    <t xml:space="preserve">168</t>
  </si>
  <si>
    <t xml:space="preserve">Convey</t>
  </si>
  <si>
    <t xml:space="preserve">701611</t>
  </si>
  <si>
    <t xml:space="preserve">N&amp;J Abstract (651 Germantown Pike)</t>
  </si>
  <si>
    <t xml:space="preserve">2113251</t>
  </si>
  <si>
    <t xml:space="preserve">16130202600</t>
  </si>
  <si>
    <t xml:space="preserve">519627385</t>
  </si>
  <si>
    <t xml:space="preserve">519627385-8</t>
  </si>
  <si>
    <t xml:space="preserve">2721 NEWELL DR Love Beasley</t>
  </si>
  <si>
    <t xml:space="preserve">6537</t>
  </si>
  <si>
    <t xml:space="preserve">506 Lincoln Avenue (found searching Pending Paperless)</t>
  </si>
  <si>
    <t xml:space="preserve">162</t>
  </si>
  <si>
    <t xml:space="preserve">47111</t>
  </si>
  <si>
    <t xml:space="preserve">"commissions"</t>
  </si>
  <si>
    <t xml:space="preserve">Wire</t>
  </si>
  <si>
    <t xml:space="preserve">27 S Woodland Ave</t>
  </si>
  <si>
    <t xml:space="preserve">TOTAL</t>
  </si>
  <si>
    <t xml:space="preserve">Priority 1 items</t>
  </si>
  <si>
    <t xml:space="preserve">Priority 2 items</t>
  </si>
  <si>
    <t xml:space="preserve">Items with a Status entered</t>
  </si>
  <si>
    <t xml:space="preserve">Settings - Philadelphia</t>
  </si>
  <si>
    <t xml:space="preserve">Office</t>
  </si>
  <si>
    <t xml:space="preserve">Philadelphia</t>
  </si>
  <si>
    <t xml:space="preserve">Holder entity governing state (LLC formation state)</t>
  </si>
  <si>
    <t xml:space="preserve">TX</t>
  </si>
  <si>
    <t xml:space="preserve">Dormancy period applied (years, adopted 10/6/2026)</t>
  </si>
  <si>
    <t xml:space="preserve">Next state report cutoff</t>
  </si>
  <si>
    <t xml:space="preserve">As-of date for ages</t>
  </si>
  <si>
    <t xml:space="preserve">Return completed workbook by</t>
  </si>
  <si>
    <t xml:space="preserve">Office fee schedule (reference)</t>
  </si>
  <si>
    <t xml:space="preserve">$595 or $995 sale fee per side plus $49 E&amp;O ($110 enhanced E&amp;O on personal sales); also $495, $295</t>
  </si>
  <si>
    <t xml:space="preserve">Do not change rows 3-6; they come from the company's unclaimed property policy. Row 7 re-ages every item; row 8 is for the Director to set before sending.</t>
  </si>
</sst>
</file>

<file path=xl/styles.xml><?xml version="1.0" encoding="utf-8"?>
<styleSheet xmlns="http://schemas.openxmlformats.org/spreadsheetml/2006/main">
  <numFmts count="4">
    <numFmt numFmtId="164" formatCode="General"/>
    <numFmt numFmtId="165" formatCode="mm/dd/yyyy"/>
    <numFmt numFmtId="166" formatCode="\$#,##0.00;&quot;($&quot;#,##0.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F8CBAD"/>
          <bgColor rgb="FF000000"/>
        </patternFill>
      </fill>
    </dxf>
    <dxf>
      <fill>
        <patternFill patternType="solid">
          <fgColor rgb="FFFFE699"/>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bgColor rgb="FFF8CBAD"/>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75" hidden="false" customHeight="true" outlineLevel="0" collapsed="false">
      <c r="A4" s="3" t="s">
        <v>2</v>
      </c>
      <c r="B4" s="3"/>
      <c r="C4" s="3"/>
      <c r="D4" s="3"/>
      <c r="E4" s="3"/>
      <c r="F4" s="3"/>
      <c r="G4" s="3"/>
      <c r="H4" s="3"/>
    </row>
    <row r="5" customFormat="false" ht="45.75" hidden="false" customHeight="true" outlineLevel="0" collapsed="false">
      <c r="A5" s="2" t="s">
        <v>3</v>
      </c>
      <c r="B5" s="2"/>
      <c r="C5" s="2"/>
      <c r="D5" s="2"/>
      <c r="E5" s="2"/>
      <c r="F5" s="2"/>
      <c r="G5" s="2"/>
      <c r="H5" s="2"/>
    </row>
    <row r="6" customFormat="false" ht="15.75" hidden="false" customHeight="true" outlineLevel="0" collapsed="false">
      <c r="A6" s="3" t="s">
        <v>4</v>
      </c>
      <c r="B6" s="3"/>
      <c r="C6" s="3"/>
      <c r="D6" s="3"/>
      <c r="E6" s="3"/>
      <c r="F6" s="3"/>
      <c r="G6" s="3"/>
      <c r="H6" s="3"/>
    </row>
    <row r="7" customFormat="false" ht="45.75" hidden="false" customHeight="true" outlineLevel="0" collapsed="false">
      <c r="A7" s="2" t="s">
        <v>5</v>
      </c>
      <c r="B7" s="2"/>
      <c r="C7" s="2"/>
      <c r="D7" s="2"/>
      <c r="E7" s="2"/>
      <c r="F7" s="2"/>
      <c r="G7" s="2"/>
      <c r="H7" s="2"/>
    </row>
    <row r="8" customFormat="false" ht="15.75" hidden="false" customHeight="true" outlineLevel="0" collapsed="false">
      <c r="A8" s="3" t="s">
        <v>6</v>
      </c>
      <c r="B8" s="3"/>
      <c r="C8" s="3"/>
      <c r="D8" s="3"/>
      <c r="E8" s="3"/>
      <c r="F8" s="3"/>
      <c r="G8" s="3"/>
      <c r="H8" s="3"/>
    </row>
    <row r="9" customFormat="false" ht="45.75" hidden="false" customHeight="true" outlineLevel="0" collapsed="false">
      <c r="A9" s="2" t="s">
        <v>7</v>
      </c>
      <c r="B9" s="2"/>
      <c r="C9" s="2"/>
      <c r="D9" s="2"/>
      <c r="E9" s="2"/>
      <c r="F9" s="2"/>
      <c r="G9" s="2"/>
      <c r="H9" s="2"/>
    </row>
    <row r="10" customFormat="false" ht="30" hidden="false" customHeight="true" outlineLevel="0" collapsed="false">
      <c r="A10" s="2" t="s">
        <v>8</v>
      </c>
      <c r="B10" s="2"/>
      <c r="C10" s="2"/>
      <c r="D10" s="2"/>
      <c r="E10" s="2"/>
      <c r="F10" s="2"/>
      <c r="G10" s="2"/>
      <c r="H10" s="2"/>
    </row>
    <row r="11" customFormat="false" ht="30" hidden="false" customHeight="true" outlineLevel="0" collapsed="false">
      <c r="A11" s="2" t="s">
        <v>9</v>
      </c>
      <c r="B11" s="2"/>
      <c r="C11" s="2"/>
      <c r="D11" s="2"/>
      <c r="E11" s="2"/>
      <c r="F11" s="2"/>
      <c r="G11" s="2"/>
      <c r="H11" s="2"/>
    </row>
    <row r="12" customFormat="false" ht="45.75" hidden="false" customHeight="true" outlineLevel="0" collapsed="false">
      <c r="A12" s="2" t="s">
        <v>10</v>
      </c>
      <c r="B12" s="2"/>
      <c r="C12" s="2"/>
      <c r="D12" s="2"/>
      <c r="E12" s="2"/>
      <c r="F12" s="2"/>
      <c r="G12" s="2"/>
      <c r="H12" s="2"/>
    </row>
    <row r="13" customFormat="false" ht="30" hidden="false" customHeight="true" outlineLevel="0" collapsed="false">
      <c r="A13" s="2" t="s">
        <v>11</v>
      </c>
      <c r="B13" s="2"/>
      <c r="C13" s="2"/>
      <c r="D13" s="2"/>
      <c r="E13" s="2"/>
      <c r="F13" s="2"/>
      <c r="G13" s="2"/>
      <c r="H13" s="2"/>
    </row>
    <row r="14" customFormat="false" ht="30" hidden="false" customHeight="true" outlineLevel="0" collapsed="false">
      <c r="A14" s="2" t="s">
        <v>12</v>
      </c>
      <c r="B14" s="2"/>
      <c r="C14" s="2"/>
      <c r="D14" s="2"/>
      <c r="E14" s="2"/>
      <c r="F14" s="2"/>
      <c r="G14" s="2"/>
      <c r="H14" s="2"/>
    </row>
    <row r="15" customFormat="false" ht="15.75" hidden="false" customHeight="true" outlineLevel="0" collapsed="false">
      <c r="A15" s="3" t="s">
        <v>13</v>
      </c>
      <c r="B15" s="3"/>
      <c r="C15" s="3"/>
      <c r="D15" s="3"/>
      <c r="E15" s="3"/>
      <c r="F15" s="3"/>
      <c r="G15" s="3"/>
      <c r="H15" s="3"/>
    </row>
    <row r="16" customFormat="false" ht="45.75" hidden="false" customHeight="true" outlineLevel="0" collapsed="false">
      <c r="A16" s="2" t="s">
        <v>14</v>
      </c>
      <c r="B16" s="2"/>
      <c r="C16" s="2"/>
      <c r="D16" s="2"/>
      <c r="E16" s="2"/>
      <c r="F16" s="2"/>
      <c r="G16" s="2"/>
      <c r="H16" s="2"/>
    </row>
    <row r="17" customFormat="false" ht="15.75" hidden="false" customHeight="true" outlineLevel="0" collapsed="false">
      <c r="A17" s="3" t="s">
        <v>15</v>
      </c>
      <c r="B17" s="3"/>
      <c r="C17" s="3"/>
      <c r="D17" s="3"/>
      <c r="E17" s="3"/>
      <c r="F17" s="3"/>
      <c r="G17" s="3"/>
      <c r="H17" s="3"/>
    </row>
    <row r="18" customFormat="false" ht="45.75" hidden="false" customHeight="true" outlineLevel="0" collapsed="false">
      <c r="A18" s="2" t="s">
        <v>16</v>
      </c>
      <c r="B18" s="2"/>
      <c r="C18" s="2"/>
      <c r="D18" s="2"/>
      <c r="E18" s="2"/>
      <c r="F18" s="2"/>
      <c r="G18" s="2"/>
      <c r="H18" s="2"/>
    </row>
    <row r="19" customFormat="false" ht="45.75" hidden="false" customHeight="true" outlineLevel="0" collapsed="false">
      <c r="A19" s="2" t="s">
        <v>17</v>
      </c>
      <c r="B19" s="2"/>
      <c r="C19" s="2"/>
      <c r="D19" s="2"/>
      <c r="E19" s="2"/>
      <c r="F19" s="2"/>
      <c r="G19" s="2"/>
      <c r="H19" s="2"/>
    </row>
    <row r="20" customFormat="false" ht="30" hidden="false" customHeight="true" outlineLevel="0" collapsed="false">
      <c r="A20" s="2" t="s">
        <v>18</v>
      </c>
      <c r="B20" s="2"/>
      <c r="C20" s="2"/>
      <c r="D20" s="2"/>
      <c r="E20" s="2"/>
      <c r="F20" s="2"/>
      <c r="G20" s="2"/>
      <c r="H20" s="2"/>
    </row>
  </sheetData>
  <mergeCells count="18">
    <mergeCell ref="A2:H2"/>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28"/>
    <col collapsed="false" customWidth="true" hidden="false" outlineLevel="0" max="5" min="5" style="0" width="12"/>
    <col collapsed="false" customWidth="true" hidden="false" outlineLevel="0" max="6" min="6" style="0" width="45"/>
    <col collapsed="false" customWidth="true" hidden="false" outlineLevel="0" max="7" min="7" style="0" width="8"/>
    <col collapsed="false" customWidth="true" hidden="false" outlineLevel="0" max="8" min="8" style="0" width="11"/>
    <col collapsed="false" customWidth="true" hidden="false" outlineLevel="0" max="9" min="9" style="0" width="30"/>
    <col collapsed="false" customWidth="true" hidden="false" outlineLevel="0" max="10" min="10" style="0" width="20"/>
    <col collapsed="false" customWidth="true" hidden="false" outlineLevel="0" max="11" min="11" style="0" width="28"/>
    <col collapsed="false" customWidth="true" hidden="false" outlineLevel="0" max="12" min="12" style="0" width="11"/>
    <col collapsed="false" customWidth="true" hidden="false" outlineLevel="0" max="13" min="13" style="0" width="22"/>
    <col collapsed="false" customWidth="true" hidden="false" outlineLevel="0" max="14" min="14" style="0" width="30"/>
    <col collapsed="false" customWidth="true" hidden="false" outlineLevel="0" max="15" min="15" style="0" width="9"/>
    <col collapsed="false" customWidth="true" hidden="false" outlineLevel="0" max="16" min="16" style="0" width="12"/>
    <col collapsed="false" customWidth="true" hidden="false" outlineLevel="0" max="17" min="17" style="0" width="10"/>
    <col collapsed="false" customWidth="true" hidden="false" outlineLevel="0" max="18" min="18" style="0" width="12"/>
    <col collapsed="false" customWidth="true" hidden="false" outlineLevel="0" max="19" min="19" style="0" width="14"/>
    <col collapsed="false" customWidth="true" hidden="false" outlineLevel="0" max="20" min="20" style="0" width="12"/>
    <col collapsed="false" customWidth="true" hidden="false" outlineLevel="0" max="21" min="21" style="0" width="18"/>
    <col collapsed="false" customWidth="true" hidden="false" outlineLevel="0" max="22" min="22" style="0" width="26"/>
    <col collapsed="false" customWidth="true" hidden="false" outlineLevel="0" max="23" min="23" style="0" width="40"/>
  </cols>
  <sheetData>
    <row r="1" customFormat="false" ht="17.35" hidden="false" customHeight="false" outlineLevel="0" collapsed="false">
      <c r="A1" s="1" t="s">
        <v>19</v>
      </c>
    </row>
    <row r="2" customFormat="false" ht="30" hidden="false" customHeight="true" outlineLevel="0" collapsed="false">
      <c r="A2" s="2" t="s">
        <v>20</v>
      </c>
      <c r="B2" s="2"/>
      <c r="C2" s="2"/>
      <c r="D2" s="2"/>
      <c r="E2" s="2"/>
      <c r="F2" s="2"/>
      <c r="G2" s="2"/>
      <c r="H2" s="2"/>
      <c r="I2" s="2"/>
      <c r="J2" s="2"/>
      <c r="K2" s="2"/>
      <c r="L2" s="2"/>
      <c r="M2" s="2"/>
      <c r="N2" s="2"/>
      <c r="O2" s="2"/>
      <c r="P2" s="2"/>
      <c r="Q2" s="2"/>
      <c r="R2" s="2"/>
      <c r="S2" s="2"/>
      <c r="T2" s="2"/>
      <c r="U2" s="2"/>
      <c r="V2" s="2"/>
      <c r="W2" s="2"/>
    </row>
    <row r="3" customFormat="false" ht="15" hidden="false" customHeight="false" outlineLevel="0" collapsed="false">
      <c r="A3" s="4" t="s">
        <v>21</v>
      </c>
      <c r="B3" s="5" t="n">
        <f aca="false">Settings!$B$7</f>
        <v>46301</v>
      </c>
      <c r="C3" s="4" t="s">
        <v>22</v>
      </c>
      <c r="D3" s="4" t="n">
        <f aca="false">Settings!$B$5</f>
        <v>3</v>
      </c>
      <c r="E3" s="4" t="s">
        <v>23</v>
      </c>
      <c r="F3" s="5" t="n">
        <f aca="false">Settings!$B$6</f>
        <v>46447</v>
      </c>
    </row>
    <row r="5" customFormat="false" ht="43.5" hidden="false" customHeight="true" outlineLevel="0" collapsed="false">
      <c r="A5" s="6" t="s">
        <v>24</v>
      </c>
      <c r="B5" s="6" t="s">
        <v>25</v>
      </c>
      <c r="C5" s="6" t="s">
        <v>26</v>
      </c>
      <c r="D5" s="6" t="s">
        <v>27</v>
      </c>
      <c r="E5" s="6" t="s">
        <v>28</v>
      </c>
      <c r="F5" s="6" t="s">
        <v>29</v>
      </c>
      <c r="G5" s="6" t="s">
        <v>30</v>
      </c>
      <c r="H5" s="6" t="s">
        <v>31</v>
      </c>
      <c r="I5" s="6" t="s">
        <v>32</v>
      </c>
      <c r="J5" s="6" t="s">
        <v>33</v>
      </c>
      <c r="K5" s="6" t="s">
        <v>34</v>
      </c>
      <c r="L5" s="6" t="s">
        <v>35</v>
      </c>
      <c r="M5" s="6" t="s">
        <v>36</v>
      </c>
      <c r="N5" s="6" t="s">
        <v>37</v>
      </c>
      <c r="O5" s="6" t="s">
        <v>38</v>
      </c>
      <c r="P5" s="6" t="s">
        <v>39</v>
      </c>
      <c r="Q5" s="6" t="s">
        <v>40</v>
      </c>
      <c r="R5" s="6" t="s">
        <v>41</v>
      </c>
      <c r="S5" s="6" t="s">
        <v>42</v>
      </c>
      <c r="T5" s="6" t="s">
        <v>43</v>
      </c>
      <c r="U5" s="6" t="s">
        <v>44</v>
      </c>
      <c r="V5" s="6" t="s">
        <v>45</v>
      </c>
      <c r="W5" s="6" t="s">
        <v>46</v>
      </c>
    </row>
    <row r="6" customFormat="false" ht="15" hidden="false" customHeight="false" outlineLevel="0" collapsed="false">
      <c r="A6" s="7" t="n">
        <v>1</v>
      </c>
      <c r="B6" s="8" t="n">
        <v>45175</v>
      </c>
      <c r="C6" s="7" t="s">
        <v>47</v>
      </c>
      <c r="D6" s="7"/>
      <c r="E6" s="9" t="n">
        <v>419.35</v>
      </c>
      <c r="F6" s="7" t="s">
        <v>48</v>
      </c>
      <c r="G6" s="10" t="n">
        <f aca="false">IF(B6="","",($B$3-B6)/365.25)</f>
        <v>3.08281998631075</v>
      </c>
      <c r="H6" s="8" t="n">
        <f aca="false">IF(B6="","",EDATE(B6,12*$D$3))</f>
        <v>46271</v>
      </c>
      <c r="I6" s="7" t="str">
        <f aca="false">IF(H6="","",IF(H6&lt;=$B$3,"1 - Past threshold: resolve now",IF(H6&lt;=$F$3,"2 - Reaches threshold by next cutoff","3 - Not yet")))</f>
        <v>1 - Past threshold: resolve now</v>
      </c>
      <c r="J6" s="11"/>
      <c r="K6" s="11"/>
      <c r="L6" s="12"/>
      <c r="M6" s="11"/>
      <c r="N6" s="11"/>
      <c r="O6" s="11"/>
      <c r="P6" s="13"/>
      <c r="Q6" s="13"/>
      <c r="R6" s="13"/>
      <c r="S6" s="13"/>
      <c r="T6" s="9" t="str">
        <f aca="false">IF(COUNT(P6:S6)=0,"",ROUND(E6-N(P6)-N(Q6)-N(R6)-N(S6),2))</f>
        <v/>
      </c>
      <c r="U6" s="11"/>
      <c r="V6" s="11"/>
      <c r="W6" s="11"/>
    </row>
    <row r="7" customFormat="false" ht="15" hidden="false" customHeight="false" outlineLevel="0" collapsed="false">
      <c r="A7" s="7" t="n">
        <v>2</v>
      </c>
      <c r="B7" s="8" t="n">
        <v>45295</v>
      </c>
      <c r="C7" s="7" t="s">
        <v>49</v>
      </c>
      <c r="D7" s="7"/>
      <c r="E7" s="9" t="n">
        <v>495</v>
      </c>
      <c r="F7" s="7" t="s">
        <v>50</v>
      </c>
      <c r="G7" s="10" t="n">
        <f aca="false">IF(B7="","",($B$3-B7)/365.25)</f>
        <v>2.75427789185489</v>
      </c>
      <c r="H7" s="8" t="n">
        <f aca="false">IF(B7="","",EDATE(B7,12*$D$3))</f>
        <v>46391</v>
      </c>
      <c r="I7" s="7" t="str">
        <f aca="false">IF(H7="","",IF(H7&lt;=$B$3,"1 - Past threshold: resolve now",IF(H7&lt;=$F$3,"2 - Reaches threshold by next cutoff","3 - Not yet")))</f>
        <v>2 - Reaches threshold by next cutoff</v>
      </c>
      <c r="J7" s="11"/>
      <c r="K7" s="11"/>
      <c r="L7" s="12"/>
      <c r="M7" s="11"/>
      <c r="N7" s="11"/>
      <c r="O7" s="11"/>
      <c r="P7" s="13"/>
      <c r="Q7" s="13"/>
      <c r="R7" s="13"/>
      <c r="S7" s="13"/>
      <c r="T7" s="9" t="str">
        <f aca="false">IF(COUNT(P7:S7)=0,"",ROUND(E7-N(P7)-N(Q7)-N(R7)-N(S7),2))</f>
        <v/>
      </c>
      <c r="U7" s="11"/>
      <c r="V7" s="11"/>
      <c r="W7" s="11"/>
    </row>
    <row r="8" customFormat="false" ht="15" hidden="false" customHeight="false" outlineLevel="0" collapsed="false">
      <c r="A8" s="7" t="n">
        <v>3</v>
      </c>
      <c r="B8" s="8" t="n">
        <v>45295</v>
      </c>
      <c r="C8" s="7" t="s">
        <v>51</v>
      </c>
      <c r="D8" s="7"/>
      <c r="E8" s="9" t="n">
        <v>4410</v>
      </c>
      <c r="F8" s="7" t="s">
        <v>50</v>
      </c>
      <c r="G8" s="10" t="n">
        <f aca="false">IF(B8="","",($B$3-B8)/365.25)</f>
        <v>2.75427789185489</v>
      </c>
      <c r="H8" s="8" t="n">
        <f aca="false">IF(B8="","",EDATE(B8,12*$D$3))</f>
        <v>46391</v>
      </c>
      <c r="I8" s="7" t="str">
        <f aca="false">IF(H8="","",IF(H8&lt;=$B$3,"1 - Past threshold: resolve now",IF(H8&lt;=$F$3,"2 - Reaches threshold by next cutoff","3 - Not yet")))</f>
        <v>2 - Reaches threshold by next cutoff</v>
      </c>
      <c r="J8" s="11"/>
      <c r="K8" s="11"/>
      <c r="L8" s="12"/>
      <c r="M8" s="11"/>
      <c r="N8" s="11"/>
      <c r="O8" s="11"/>
      <c r="P8" s="13"/>
      <c r="Q8" s="13"/>
      <c r="R8" s="13"/>
      <c r="S8" s="13"/>
      <c r="T8" s="9" t="str">
        <f aca="false">IF(COUNT(P8:S8)=0,"",ROUND(E8-N(P8)-N(Q8)-N(R8)-N(S8),2))</f>
        <v/>
      </c>
      <c r="U8" s="11"/>
      <c r="V8" s="11"/>
      <c r="W8" s="11"/>
    </row>
    <row r="9" customFormat="false" ht="15" hidden="false" customHeight="false" outlineLevel="0" collapsed="false">
      <c r="A9" s="7" t="n">
        <v>4</v>
      </c>
      <c r="B9" s="8" t="n">
        <v>45453</v>
      </c>
      <c r="C9" s="7" t="s">
        <v>52</v>
      </c>
      <c r="D9" s="7"/>
      <c r="E9" s="9" t="n">
        <v>500</v>
      </c>
      <c r="F9" s="7" t="s">
        <v>53</v>
      </c>
      <c r="G9" s="10" t="n">
        <f aca="false">IF(B9="","",($B$3-B9)/365.25)</f>
        <v>2.32169746748802</v>
      </c>
      <c r="H9" s="8" t="n">
        <f aca="false">IF(B9="","",EDATE(B9,12*$D$3))</f>
        <v>46548</v>
      </c>
      <c r="I9" s="7" t="str">
        <f aca="false">IF(H9="","",IF(H9&lt;=$B$3,"1 - Past threshold: resolve now",IF(H9&lt;=$F$3,"2 - Reaches threshold by next cutoff","3 - Not yet")))</f>
        <v>3 - Not yet</v>
      </c>
      <c r="J9" s="11"/>
      <c r="K9" s="11"/>
      <c r="L9" s="12"/>
      <c r="M9" s="11"/>
      <c r="N9" s="11"/>
      <c r="O9" s="11"/>
      <c r="P9" s="13"/>
      <c r="Q9" s="13"/>
      <c r="R9" s="13"/>
      <c r="S9" s="13"/>
      <c r="T9" s="9" t="str">
        <f aca="false">IF(COUNT(P9:S9)=0,"",ROUND(E9-N(P9)-N(Q9)-N(R9)-N(S9),2))</f>
        <v/>
      </c>
      <c r="U9" s="11"/>
      <c r="V9" s="11"/>
      <c r="W9" s="11"/>
    </row>
    <row r="10" customFormat="false" ht="15" hidden="false" customHeight="false" outlineLevel="0" collapsed="false">
      <c r="A10" s="7" t="n">
        <v>5</v>
      </c>
      <c r="B10" s="8" t="n">
        <v>45463</v>
      </c>
      <c r="C10" s="7" t="s">
        <v>54</v>
      </c>
      <c r="D10" s="7"/>
      <c r="E10" s="9" t="n">
        <v>995</v>
      </c>
      <c r="F10" s="7" t="s">
        <v>55</v>
      </c>
      <c r="G10" s="10" t="n">
        <f aca="false">IF(B10="","",($B$3-B10)/365.25)</f>
        <v>2.2943189596167</v>
      </c>
      <c r="H10" s="8" t="n">
        <f aca="false">IF(B10="","",EDATE(B10,12*$D$3))</f>
        <v>46558</v>
      </c>
      <c r="I10" s="7" t="str">
        <f aca="false">IF(H10="","",IF(H10&lt;=$B$3,"1 - Past threshold: resolve now",IF(H10&lt;=$F$3,"2 - Reaches threshold by next cutoff","3 - Not yet")))</f>
        <v>3 - Not yet</v>
      </c>
      <c r="J10" s="11"/>
      <c r="K10" s="11"/>
      <c r="L10" s="12"/>
      <c r="M10" s="11"/>
      <c r="N10" s="11"/>
      <c r="O10" s="11"/>
      <c r="P10" s="13"/>
      <c r="Q10" s="13"/>
      <c r="R10" s="13"/>
      <c r="S10" s="13"/>
      <c r="T10" s="9" t="str">
        <f aca="false">IF(COUNT(P10:S10)=0,"",ROUND(E10-N(P10)-N(Q10)-N(R10)-N(S10),2))</f>
        <v/>
      </c>
      <c r="U10" s="11"/>
      <c r="V10" s="11"/>
      <c r="W10" s="11"/>
    </row>
    <row r="11" customFormat="false" ht="15" hidden="false" customHeight="false" outlineLevel="0" collapsed="false">
      <c r="A11" s="7" t="n">
        <v>6</v>
      </c>
      <c r="B11" s="8" t="n">
        <v>45463</v>
      </c>
      <c r="C11" s="7" t="s">
        <v>56</v>
      </c>
      <c r="D11" s="7"/>
      <c r="E11" s="9" t="n">
        <v>49</v>
      </c>
      <c r="F11" s="7" t="s">
        <v>57</v>
      </c>
      <c r="G11" s="10" t="n">
        <f aca="false">IF(B11="","",($B$3-B11)/365.25)</f>
        <v>2.2943189596167</v>
      </c>
      <c r="H11" s="8" t="n">
        <f aca="false">IF(B11="","",EDATE(B11,12*$D$3))</f>
        <v>46558</v>
      </c>
      <c r="I11" s="7" t="str">
        <f aca="false">IF(H11="","",IF(H11&lt;=$B$3,"1 - Past threshold: resolve now",IF(H11&lt;=$F$3,"2 - Reaches threshold by next cutoff","3 - Not yet")))</f>
        <v>3 - Not yet</v>
      </c>
      <c r="J11" s="11"/>
      <c r="K11" s="11"/>
      <c r="L11" s="12"/>
      <c r="M11" s="11"/>
      <c r="N11" s="11"/>
      <c r="O11" s="11"/>
      <c r="P11" s="13"/>
      <c r="Q11" s="13"/>
      <c r="R11" s="13"/>
      <c r="S11" s="13"/>
      <c r="T11" s="9" t="str">
        <f aca="false">IF(COUNT(P11:S11)=0,"",ROUND(E11-N(P11)-N(Q11)-N(R11)-N(S11),2))</f>
        <v/>
      </c>
      <c r="U11" s="11"/>
      <c r="V11" s="11"/>
      <c r="W11" s="11"/>
    </row>
    <row r="12" customFormat="false" ht="15" hidden="false" customHeight="false" outlineLevel="0" collapsed="false">
      <c r="A12" s="7" t="n">
        <v>7</v>
      </c>
      <c r="B12" s="8" t="n">
        <v>45485</v>
      </c>
      <c r="C12" s="7" t="s">
        <v>58</v>
      </c>
      <c r="D12" s="7"/>
      <c r="E12" s="9" t="n">
        <v>1614</v>
      </c>
      <c r="F12" s="7" t="s">
        <v>59</v>
      </c>
      <c r="G12" s="10" t="n">
        <f aca="false">IF(B12="","",($B$3-B12)/365.25)</f>
        <v>2.23408624229979</v>
      </c>
      <c r="H12" s="8" t="n">
        <f aca="false">IF(B12="","",EDATE(B12,12*$D$3))</f>
        <v>46580</v>
      </c>
      <c r="I12" s="7" t="str">
        <f aca="false">IF(H12="","",IF(H12&lt;=$B$3,"1 - Past threshold: resolve now",IF(H12&lt;=$F$3,"2 - Reaches threshold by next cutoff","3 - Not yet")))</f>
        <v>3 - Not yet</v>
      </c>
      <c r="J12" s="11"/>
      <c r="K12" s="11"/>
      <c r="L12" s="12"/>
      <c r="M12" s="11"/>
      <c r="N12" s="11"/>
      <c r="O12" s="11"/>
      <c r="P12" s="13"/>
      <c r="Q12" s="13"/>
      <c r="R12" s="13"/>
      <c r="S12" s="13"/>
      <c r="T12" s="9" t="str">
        <f aca="false">IF(COUNT(P12:S12)=0,"",ROUND(E12-N(P12)-N(Q12)-N(R12)-N(S12),2))</f>
        <v/>
      </c>
      <c r="U12" s="11"/>
      <c r="V12" s="11"/>
      <c r="W12" s="11"/>
    </row>
    <row r="13" customFormat="false" ht="15" hidden="false" customHeight="false" outlineLevel="0" collapsed="false">
      <c r="A13" s="7" t="n">
        <v>8</v>
      </c>
      <c r="B13" s="8" t="n">
        <v>45488</v>
      </c>
      <c r="C13" s="7" t="s">
        <v>60</v>
      </c>
      <c r="D13" s="7"/>
      <c r="E13" s="9" t="n">
        <v>400</v>
      </c>
      <c r="F13" s="7" t="s">
        <v>61</v>
      </c>
      <c r="G13" s="10" t="n">
        <f aca="false">IF(B13="","",($B$3-B13)/365.25)</f>
        <v>2.2258726899384</v>
      </c>
      <c r="H13" s="8" t="n">
        <f aca="false">IF(B13="","",EDATE(B13,12*$D$3))</f>
        <v>46583</v>
      </c>
      <c r="I13" s="7" t="str">
        <f aca="false">IF(H13="","",IF(H13&lt;=$B$3,"1 - Past threshold: resolve now",IF(H13&lt;=$F$3,"2 - Reaches threshold by next cutoff","3 - Not yet")))</f>
        <v>3 - Not yet</v>
      </c>
      <c r="J13" s="11"/>
      <c r="K13" s="11"/>
      <c r="L13" s="12"/>
      <c r="M13" s="11"/>
      <c r="N13" s="11"/>
      <c r="O13" s="11"/>
      <c r="P13" s="13"/>
      <c r="Q13" s="13"/>
      <c r="R13" s="13"/>
      <c r="S13" s="13"/>
      <c r="T13" s="9" t="str">
        <f aca="false">IF(COUNT(P13:S13)=0,"",ROUND(E13-N(P13)-N(Q13)-N(R13)-N(S13),2))</f>
        <v/>
      </c>
      <c r="U13" s="11"/>
      <c r="V13" s="11"/>
      <c r="W13" s="11"/>
    </row>
    <row r="14" customFormat="false" ht="15" hidden="false" customHeight="false" outlineLevel="0" collapsed="false">
      <c r="A14" s="7" t="n">
        <v>9</v>
      </c>
      <c r="B14" s="8" t="n">
        <v>45499</v>
      </c>
      <c r="C14" s="7" t="s">
        <v>62</v>
      </c>
      <c r="D14" s="7"/>
      <c r="E14" s="9" t="n">
        <v>400</v>
      </c>
      <c r="F14" s="7" t="s">
        <v>63</v>
      </c>
      <c r="G14" s="10" t="n">
        <f aca="false">IF(B14="","",($B$3-B14)/365.25)</f>
        <v>2.19575633127995</v>
      </c>
      <c r="H14" s="8" t="n">
        <f aca="false">IF(B14="","",EDATE(B14,12*$D$3))</f>
        <v>46594</v>
      </c>
      <c r="I14" s="7" t="str">
        <f aca="false">IF(H14="","",IF(H14&lt;=$B$3,"1 - Past threshold: resolve now",IF(H14&lt;=$F$3,"2 - Reaches threshold by next cutoff","3 - Not yet")))</f>
        <v>3 - Not yet</v>
      </c>
      <c r="J14" s="11"/>
      <c r="K14" s="11"/>
      <c r="L14" s="12"/>
      <c r="M14" s="11"/>
      <c r="N14" s="11"/>
      <c r="O14" s="11"/>
      <c r="P14" s="13"/>
      <c r="Q14" s="13"/>
      <c r="R14" s="13"/>
      <c r="S14" s="13"/>
      <c r="T14" s="9" t="str">
        <f aca="false">IF(COUNT(P14:S14)=0,"",ROUND(E14-N(P14)-N(Q14)-N(R14)-N(S14),2))</f>
        <v/>
      </c>
      <c r="U14" s="11"/>
      <c r="V14" s="11"/>
      <c r="W14" s="11"/>
    </row>
    <row r="15" customFormat="false" ht="15" hidden="false" customHeight="false" outlineLevel="0" collapsed="false">
      <c r="A15" s="7" t="n">
        <v>10</v>
      </c>
      <c r="B15" s="8" t="n">
        <v>45524</v>
      </c>
      <c r="C15" s="7" t="s">
        <v>64</v>
      </c>
      <c r="D15" s="7"/>
      <c r="E15" s="9" t="n">
        <v>595</v>
      </c>
      <c r="F15" s="7" t="s">
        <v>65</v>
      </c>
      <c r="G15" s="10" t="n">
        <f aca="false">IF(B15="","",($B$3-B15)/365.25)</f>
        <v>2.12731006160164</v>
      </c>
      <c r="H15" s="8" t="n">
        <f aca="false">IF(B15="","",EDATE(B15,12*$D$3))</f>
        <v>46619</v>
      </c>
      <c r="I15" s="7" t="str">
        <f aca="false">IF(H15="","",IF(H15&lt;=$B$3,"1 - Past threshold: resolve now",IF(H15&lt;=$F$3,"2 - Reaches threshold by next cutoff","3 - Not yet")))</f>
        <v>3 - Not yet</v>
      </c>
      <c r="J15" s="11"/>
      <c r="K15" s="11"/>
      <c r="L15" s="12"/>
      <c r="M15" s="11"/>
      <c r="N15" s="11"/>
      <c r="O15" s="11"/>
      <c r="P15" s="13"/>
      <c r="Q15" s="13"/>
      <c r="R15" s="13"/>
      <c r="S15" s="13"/>
      <c r="T15" s="9" t="str">
        <f aca="false">IF(COUNT(P15:S15)=0,"",ROUND(E15-N(P15)-N(Q15)-N(R15)-N(S15),2))</f>
        <v/>
      </c>
      <c r="U15" s="11"/>
      <c r="V15" s="11"/>
      <c r="W15" s="11"/>
    </row>
    <row r="16" customFormat="false" ht="15" hidden="false" customHeight="false" outlineLevel="0" collapsed="false">
      <c r="A16" s="7" t="n">
        <v>11</v>
      </c>
      <c r="B16" s="8" t="n">
        <v>45532</v>
      </c>
      <c r="C16" s="7" t="s">
        <v>66</v>
      </c>
      <c r="D16" s="7"/>
      <c r="E16" s="9" t="n">
        <v>823.06</v>
      </c>
      <c r="F16" s="7" t="s">
        <v>67</v>
      </c>
      <c r="G16" s="10" t="n">
        <f aca="false">IF(B16="","",($B$3-B16)/365.25)</f>
        <v>2.10540725530459</v>
      </c>
      <c r="H16" s="8" t="n">
        <f aca="false">IF(B16="","",EDATE(B16,12*$D$3))</f>
        <v>46627</v>
      </c>
      <c r="I16" s="7" t="str">
        <f aca="false">IF(H16="","",IF(H16&lt;=$B$3,"1 - Past threshold: resolve now",IF(H16&lt;=$F$3,"2 - Reaches threshold by next cutoff","3 - Not yet")))</f>
        <v>3 - Not yet</v>
      </c>
      <c r="J16" s="11"/>
      <c r="K16" s="11"/>
      <c r="L16" s="12"/>
      <c r="M16" s="11"/>
      <c r="N16" s="11"/>
      <c r="O16" s="11"/>
      <c r="P16" s="13"/>
      <c r="Q16" s="13"/>
      <c r="R16" s="13"/>
      <c r="S16" s="13"/>
      <c r="T16" s="9" t="str">
        <f aca="false">IF(COUNT(P16:S16)=0,"",ROUND(E16-N(P16)-N(Q16)-N(R16)-N(S16),2))</f>
        <v/>
      </c>
      <c r="U16" s="11"/>
      <c r="V16" s="11"/>
      <c r="W16" s="11"/>
    </row>
    <row r="17" customFormat="false" ht="15" hidden="false" customHeight="false" outlineLevel="0" collapsed="false">
      <c r="A17" s="7" t="n">
        <v>12</v>
      </c>
      <c r="B17" s="8" t="n">
        <v>45588</v>
      </c>
      <c r="C17" s="7" t="s">
        <v>68</v>
      </c>
      <c r="D17" s="7"/>
      <c r="E17" s="9" t="n">
        <v>495</v>
      </c>
      <c r="F17" s="7" t="s">
        <v>69</v>
      </c>
      <c r="G17" s="10" t="n">
        <f aca="false">IF(B17="","",($B$3-B17)/365.25)</f>
        <v>1.95208761122519</v>
      </c>
      <c r="H17" s="8" t="n">
        <f aca="false">IF(B17="","",EDATE(B17,12*$D$3))</f>
        <v>46683</v>
      </c>
      <c r="I17" s="7" t="str">
        <f aca="false">IF(H17="","",IF(H17&lt;=$B$3,"1 - Past threshold: resolve now",IF(H17&lt;=$F$3,"2 - Reaches threshold by next cutoff","3 - Not yet")))</f>
        <v>3 - Not yet</v>
      </c>
      <c r="J17" s="11"/>
      <c r="K17" s="11"/>
      <c r="L17" s="12"/>
      <c r="M17" s="11"/>
      <c r="N17" s="11"/>
      <c r="O17" s="11"/>
      <c r="P17" s="13"/>
      <c r="Q17" s="13"/>
      <c r="R17" s="13"/>
      <c r="S17" s="13"/>
      <c r="T17" s="9" t="str">
        <f aca="false">IF(COUNT(P17:S17)=0,"",ROUND(E17-N(P17)-N(Q17)-N(R17)-N(S17),2))</f>
        <v/>
      </c>
      <c r="U17" s="11"/>
      <c r="V17" s="11"/>
      <c r="W17" s="11"/>
    </row>
    <row r="18" customFormat="false" ht="15" hidden="false" customHeight="false" outlineLevel="0" collapsed="false">
      <c r="A18" s="7" t="n">
        <v>13</v>
      </c>
      <c r="B18" s="8" t="n">
        <v>45597</v>
      </c>
      <c r="C18" s="7" t="s">
        <v>70</v>
      </c>
      <c r="D18" s="7"/>
      <c r="E18" s="9" t="n">
        <v>152</v>
      </c>
      <c r="F18" s="7"/>
      <c r="G18" s="10" t="n">
        <f aca="false">IF(B18="","",($B$3-B18)/365.25)</f>
        <v>1.927446954141</v>
      </c>
      <c r="H18" s="8" t="n">
        <f aca="false">IF(B18="","",EDATE(B18,12*$D$3))</f>
        <v>46692</v>
      </c>
      <c r="I18" s="7" t="str">
        <f aca="false">IF(H18="","",IF(H18&lt;=$B$3,"1 - Past threshold: resolve now",IF(H18&lt;=$F$3,"2 - Reaches threshold by next cutoff","3 - Not yet")))</f>
        <v>3 - Not yet</v>
      </c>
      <c r="J18" s="11"/>
      <c r="K18" s="11"/>
      <c r="L18" s="12"/>
      <c r="M18" s="11"/>
      <c r="N18" s="11"/>
      <c r="O18" s="11"/>
      <c r="P18" s="13"/>
      <c r="Q18" s="13"/>
      <c r="R18" s="13"/>
      <c r="S18" s="13"/>
      <c r="T18" s="9" t="str">
        <f aca="false">IF(COUNT(P18:S18)=0,"",ROUND(E18-N(P18)-N(Q18)-N(R18)-N(S18),2))</f>
        <v/>
      </c>
      <c r="U18" s="11"/>
      <c r="V18" s="11"/>
      <c r="W18" s="11"/>
    </row>
    <row r="19" customFormat="false" ht="15" hidden="false" customHeight="false" outlineLevel="0" collapsed="false">
      <c r="A19" s="7" t="n">
        <v>14</v>
      </c>
      <c r="B19" s="8" t="n">
        <v>45611</v>
      </c>
      <c r="C19" s="7" t="s">
        <v>71</v>
      </c>
      <c r="D19" s="7"/>
      <c r="E19" s="9" t="n">
        <v>270</v>
      </c>
      <c r="F19" s="7" t="s">
        <v>72</v>
      </c>
      <c r="G19" s="10" t="n">
        <f aca="false">IF(B19="","",($B$3-B19)/365.25)</f>
        <v>1.88911704312115</v>
      </c>
      <c r="H19" s="8" t="n">
        <f aca="false">IF(B19="","",EDATE(B19,12*$D$3))</f>
        <v>46706</v>
      </c>
      <c r="I19" s="7" t="str">
        <f aca="false">IF(H19="","",IF(H19&lt;=$B$3,"1 - Past threshold: resolve now",IF(H19&lt;=$F$3,"2 - Reaches threshold by next cutoff","3 - Not yet")))</f>
        <v>3 - Not yet</v>
      </c>
      <c r="J19" s="11"/>
      <c r="K19" s="11"/>
      <c r="L19" s="12"/>
      <c r="M19" s="11"/>
      <c r="N19" s="11"/>
      <c r="O19" s="11"/>
      <c r="P19" s="13"/>
      <c r="Q19" s="13"/>
      <c r="R19" s="13"/>
      <c r="S19" s="13"/>
      <c r="T19" s="9" t="str">
        <f aca="false">IF(COUNT(P19:S19)=0,"",ROUND(E19-N(P19)-N(Q19)-N(R19)-N(S19),2))</f>
        <v/>
      </c>
      <c r="U19" s="11"/>
      <c r="V19" s="11"/>
      <c r="W19" s="11"/>
    </row>
    <row r="20" customFormat="false" ht="15" hidden="false" customHeight="false" outlineLevel="0" collapsed="false">
      <c r="A20" s="7" t="n">
        <v>15</v>
      </c>
      <c r="B20" s="8" t="n">
        <v>45630</v>
      </c>
      <c r="C20" s="7" t="s">
        <v>73</v>
      </c>
      <c r="D20" s="7"/>
      <c r="E20" s="9" t="n">
        <v>2936.25</v>
      </c>
      <c r="F20" s="7" t="s">
        <v>74</v>
      </c>
      <c r="G20" s="10" t="n">
        <f aca="false">IF(B20="","",($B$3-B20)/365.25)</f>
        <v>1.83709787816564</v>
      </c>
      <c r="H20" s="8" t="n">
        <f aca="false">IF(B20="","",EDATE(B20,12*$D$3))</f>
        <v>46725</v>
      </c>
      <c r="I20" s="7" t="str">
        <f aca="false">IF(H20="","",IF(H20&lt;=$B$3,"1 - Past threshold: resolve now",IF(H20&lt;=$F$3,"2 - Reaches threshold by next cutoff","3 - Not yet")))</f>
        <v>3 - Not yet</v>
      </c>
      <c r="J20" s="11"/>
      <c r="K20" s="11"/>
      <c r="L20" s="12"/>
      <c r="M20" s="11"/>
      <c r="N20" s="11"/>
      <c r="O20" s="11"/>
      <c r="P20" s="13"/>
      <c r="Q20" s="13"/>
      <c r="R20" s="13"/>
      <c r="S20" s="13"/>
      <c r="T20" s="9" t="str">
        <f aca="false">IF(COUNT(P20:S20)=0,"",ROUND(E20-N(P20)-N(Q20)-N(R20)-N(S20),2))</f>
        <v/>
      </c>
      <c r="U20" s="11"/>
      <c r="V20" s="11"/>
      <c r="W20" s="11"/>
    </row>
    <row r="21" customFormat="false" ht="15" hidden="false" customHeight="false" outlineLevel="0" collapsed="false">
      <c r="A21" s="7" t="n">
        <v>16</v>
      </c>
      <c r="B21" s="8" t="n">
        <v>45630</v>
      </c>
      <c r="C21" s="7" t="s">
        <v>75</v>
      </c>
      <c r="D21" s="7"/>
      <c r="E21" s="9" t="n">
        <v>400</v>
      </c>
      <c r="F21" s="7" t="s">
        <v>74</v>
      </c>
      <c r="G21" s="10" t="n">
        <f aca="false">IF(B21="","",($B$3-B21)/365.25)</f>
        <v>1.83709787816564</v>
      </c>
      <c r="H21" s="8" t="n">
        <f aca="false">IF(B21="","",EDATE(B21,12*$D$3))</f>
        <v>46725</v>
      </c>
      <c r="I21" s="7" t="str">
        <f aca="false">IF(H21="","",IF(H21&lt;=$B$3,"1 - Past threshold: resolve now",IF(H21&lt;=$F$3,"2 - Reaches threshold by next cutoff","3 - Not yet")))</f>
        <v>3 - Not yet</v>
      </c>
      <c r="J21" s="11"/>
      <c r="K21" s="11"/>
      <c r="L21" s="12"/>
      <c r="M21" s="11"/>
      <c r="N21" s="11"/>
      <c r="O21" s="11"/>
      <c r="P21" s="13"/>
      <c r="Q21" s="13"/>
      <c r="R21" s="13"/>
      <c r="S21" s="13"/>
      <c r="T21" s="9" t="str">
        <f aca="false">IF(COUNT(P21:S21)=0,"",ROUND(E21-N(P21)-N(Q21)-N(R21)-N(S21),2))</f>
        <v/>
      </c>
      <c r="U21" s="11"/>
      <c r="V21" s="11"/>
      <c r="W21" s="11"/>
    </row>
    <row r="22" customFormat="false" ht="15" hidden="false" customHeight="false" outlineLevel="0" collapsed="false">
      <c r="A22" s="7" t="n">
        <v>17</v>
      </c>
      <c r="B22" s="8" t="n">
        <v>45630</v>
      </c>
      <c r="C22" s="7" t="s">
        <v>76</v>
      </c>
      <c r="D22" s="7"/>
      <c r="E22" s="9" t="n">
        <v>595</v>
      </c>
      <c r="F22" s="7" t="s">
        <v>74</v>
      </c>
      <c r="G22" s="10" t="n">
        <f aca="false">IF(B22="","",($B$3-B22)/365.25)</f>
        <v>1.83709787816564</v>
      </c>
      <c r="H22" s="8" t="n">
        <f aca="false">IF(B22="","",EDATE(B22,12*$D$3))</f>
        <v>46725</v>
      </c>
      <c r="I22" s="7" t="str">
        <f aca="false">IF(H22="","",IF(H22&lt;=$B$3,"1 - Past threshold: resolve now",IF(H22&lt;=$F$3,"2 - Reaches threshold by next cutoff","3 - Not yet")))</f>
        <v>3 - Not yet</v>
      </c>
      <c r="J22" s="11"/>
      <c r="K22" s="11"/>
      <c r="L22" s="12"/>
      <c r="M22" s="11"/>
      <c r="N22" s="11"/>
      <c r="O22" s="11"/>
      <c r="P22" s="13"/>
      <c r="Q22" s="13"/>
      <c r="R22" s="13"/>
      <c r="S22" s="13"/>
      <c r="T22" s="9" t="str">
        <f aca="false">IF(COUNT(P22:S22)=0,"",ROUND(E22-N(P22)-N(Q22)-N(R22)-N(S22),2))</f>
        <v/>
      </c>
      <c r="U22" s="11"/>
      <c r="V22" s="11"/>
      <c r="W22" s="11"/>
    </row>
    <row r="23" customFormat="false" ht="15" hidden="false" customHeight="false" outlineLevel="0" collapsed="false">
      <c r="A23" s="7" t="n">
        <v>18</v>
      </c>
      <c r="B23" s="8" t="n">
        <v>45688</v>
      </c>
      <c r="C23" s="7" t="s">
        <v>77</v>
      </c>
      <c r="D23" s="7"/>
      <c r="E23" s="9" t="n">
        <v>2500</v>
      </c>
      <c r="F23" s="7"/>
      <c r="G23" s="10" t="n">
        <f aca="false">IF(B23="","",($B$3-B23)/365.25)</f>
        <v>1.67830253251198</v>
      </c>
      <c r="H23" s="8" t="n">
        <f aca="false">IF(B23="","",EDATE(B23,12*$D$3))</f>
        <v>46783</v>
      </c>
      <c r="I23" s="7" t="str">
        <f aca="false">IF(H23="","",IF(H23&lt;=$B$3,"1 - Past threshold: resolve now",IF(H23&lt;=$F$3,"2 - Reaches threshold by next cutoff","3 - Not yet")))</f>
        <v>3 - Not yet</v>
      </c>
      <c r="J23" s="11"/>
      <c r="K23" s="11"/>
      <c r="L23" s="12"/>
      <c r="M23" s="11"/>
      <c r="N23" s="11"/>
      <c r="O23" s="11"/>
      <c r="P23" s="13"/>
      <c r="Q23" s="13"/>
      <c r="R23" s="13"/>
      <c r="S23" s="13"/>
      <c r="T23" s="9" t="str">
        <f aca="false">IF(COUNT(P23:S23)=0,"",ROUND(E23-N(P23)-N(Q23)-N(R23)-N(S23),2))</f>
        <v/>
      </c>
      <c r="U23" s="11"/>
      <c r="V23" s="11"/>
      <c r="W23" s="11"/>
    </row>
    <row r="24" customFormat="false" ht="15" hidden="false" customHeight="false" outlineLevel="0" collapsed="false">
      <c r="A24" s="7" t="n">
        <v>19</v>
      </c>
      <c r="B24" s="8" t="n">
        <v>45698</v>
      </c>
      <c r="C24" s="7" t="s">
        <v>78</v>
      </c>
      <c r="D24" s="7"/>
      <c r="E24" s="9" t="n">
        <v>595</v>
      </c>
      <c r="F24" s="7" t="s">
        <v>79</v>
      </c>
      <c r="G24" s="10" t="n">
        <f aca="false">IF(B24="","",($B$3-B24)/365.25)</f>
        <v>1.65092402464066</v>
      </c>
      <c r="H24" s="8" t="n">
        <f aca="false">IF(B24="","",EDATE(B24,12*$D$3))</f>
        <v>46793</v>
      </c>
      <c r="I24" s="7" t="str">
        <f aca="false">IF(H24="","",IF(H24&lt;=$B$3,"1 - Past threshold: resolve now",IF(H24&lt;=$F$3,"2 - Reaches threshold by next cutoff","3 - Not yet")))</f>
        <v>3 - Not yet</v>
      </c>
      <c r="J24" s="11"/>
      <c r="K24" s="11"/>
      <c r="L24" s="12"/>
      <c r="M24" s="11"/>
      <c r="N24" s="11"/>
      <c r="O24" s="11"/>
      <c r="P24" s="13"/>
      <c r="Q24" s="13"/>
      <c r="R24" s="13"/>
      <c r="S24" s="13"/>
      <c r="T24" s="9" t="str">
        <f aca="false">IF(COUNT(P24:S24)=0,"",ROUND(E24-N(P24)-N(Q24)-N(R24)-N(S24),2))</f>
        <v/>
      </c>
      <c r="U24" s="11"/>
      <c r="V24" s="11"/>
      <c r="W24" s="11"/>
    </row>
    <row r="25" customFormat="false" ht="15" hidden="false" customHeight="false" outlineLevel="0" collapsed="false">
      <c r="A25" s="7" t="n">
        <v>20</v>
      </c>
      <c r="B25" s="8" t="n">
        <v>45715</v>
      </c>
      <c r="C25" s="7" t="s">
        <v>80</v>
      </c>
      <c r="D25" s="7"/>
      <c r="E25" s="9" t="n">
        <v>295</v>
      </c>
      <c r="F25" s="7" t="s">
        <v>81</v>
      </c>
      <c r="G25" s="10" t="n">
        <f aca="false">IF(B25="","",($B$3-B25)/365.25)</f>
        <v>1.60438056125941</v>
      </c>
      <c r="H25" s="8" t="n">
        <f aca="false">IF(B25="","",EDATE(B25,12*$D$3))</f>
        <v>46810</v>
      </c>
      <c r="I25" s="7" t="str">
        <f aca="false">IF(H25="","",IF(H25&lt;=$B$3,"1 - Past threshold: resolve now",IF(H25&lt;=$F$3,"2 - Reaches threshold by next cutoff","3 - Not yet")))</f>
        <v>3 - Not yet</v>
      </c>
      <c r="J25" s="11"/>
      <c r="K25" s="11"/>
      <c r="L25" s="12"/>
      <c r="M25" s="11"/>
      <c r="N25" s="11"/>
      <c r="O25" s="11"/>
      <c r="P25" s="13"/>
      <c r="Q25" s="13"/>
      <c r="R25" s="13"/>
      <c r="S25" s="13"/>
      <c r="T25" s="9" t="str">
        <f aca="false">IF(COUNT(P25:S25)=0,"",ROUND(E25-N(P25)-N(Q25)-N(R25)-N(S25),2))</f>
        <v/>
      </c>
      <c r="U25" s="11"/>
      <c r="V25" s="11"/>
      <c r="W25" s="11"/>
    </row>
    <row r="26" customFormat="false" ht="15" hidden="false" customHeight="false" outlineLevel="0" collapsed="false">
      <c r="A26" s="7" t="n">
        <v>21</v>
      </c>
      <c r="B26" s="8" t="n">
        <v>45848</v>
      </c>
      <c r="C26" s="7" t="s">
        <v>82</v>
      </c>
      <c r="D26" s="7"/>
      <c r="E26" s="9" t="n">
        <v>100</v>
      </c>
      <c r="F26" s="7" t="s">
        <v>83</v>
      </c>
      <c r="G26" s="10" t="n">
        <f aca="false">IF(B26="","",($B$3-B26)/365.25)</f>
        <v>1.24024640657084</v>
      </c>
      <c r="H26" s="8" t="n">
        <f aca="false">IF(B26="","",EDATE(B26,12*$D$3))</f>
        <v>46944</v>
      </c>
      <c r="I26" s="7" t="str">
        <f aca="false">IF(H26="","",IF(H26&lt;=$B$3,"1 - Past threshold: resolve now",IF(H26&lt;=$F$3,"2 - Reaches threshold by next cutoff","3 - Not yet")))</f>
        <v>3 - Not yet</v>
      </c>
      <c r="J26" s="11"/>
      <c r="K26" s="11"/>
      <c r="L26" s="12"/>
      <c r="M26" s="11"/>
      <c r="N26" s="11"/>
      <c r="O26" s="11"/>
      <c r="P26" s="13"/>
      <c r="Q26" s="13"/>
      <c r="R26" s="13"/>
      <c r="S26" s="13"/>
      <c r="T26" s="9" t="str">
        <f aca="false">IF(COUNT(P26:S26)=0,"",ROUND(E26-N(P26)-N(Q26)-N(R26)-N(S26),2))</f>
        <v/>
      </c>
      <c r="U26" s="11"/>
      <c r="V26" s="11"/>
      <c r="W26" s="11"/>
    </row>
    <row r="27" customFormat="false" ht="15" hidden="false" customHeight="false" outlineLevel="0" collapsed="false">
      <c r="A27" s="7" t="n">
        <v>22</v>
      </c>
      <c r="B27" s="8" t="n">
        <v>45862</v>
      </c>
      <c r="C27" s="7" t="s">
        <v>84</v>
      </c>
      <c r="D27" s="7"/>
      <c r="E27" s="9" t="n">
        <v>49</v>
      </c>
      <c r="F27" s="7" t="s">
        <v>85</v>
      </c>
      <c r="G27" s="10" t="n">
        <f aca="false">IF(B27="","",($B$3-B27)/365.25)</f>
        <v>1.20191649555099</v>
      </c>
      <c r="H27" s="8" t="n">
        <f aca="false">IF(B27="","",EDATE(B27,12*$D$3))</f>
        <v>46958</v>
      </c>
      <c r="I27" s="7" t="str">
        <f aca="false">IF(H27="","",IF(H27&lt;=$B$3,"1 - Past threshold: resolve now",IF(H27&lt;=$F$3,"2 - Reaches threshold by next cutoff","3 - Not yet")))</f>
        <v>3 - Not yet</v>
      </c>
      <c r="J27" s="11"/>
      <c r="K27" s="11"/>
      <c r="L27" s="12"/>
      <c r="M27" s="11"/>
      <c r="N27" s="11"/>
      <c r="O27" s="11"/>
      <c r="P27" s="13"/>
      <c r="Q27" s="13"/>
      <c r="R27" s="13"/>
      <c r="S27" s="13"/>
      <c r="T27" s="9" t="str">
        <f aca="false">IF(COUNT(P27:S27)=0,"",ROUND(E27-N(P27)-N(Q27)-N(R27)-N(S27),2))</f>
        <v/>
      </c>
      <c r="U27" s="11"/>
      <c r="V27" s="11"/>
      <c r="W27" s="11"/>
    </row>
    <row r="28" customFormat="false" ht="15" hidden="false" customHeight="false" outlineLevel="0" collapsed="false">
      <c r="A28" s="7" t="n">
        <v>23</v>
      </c>
      <c r="B28" s="8" t="n">
        <v>45862</v>
      </c>
      <c r="C28" s="7" t="s">
        <v>86</v>
      </c>
      <c r="D28" s="7"/>
      <c r="E28" s="9" t="n">
        <v>451</v>
      </c>
      <c r="F28" s="7" t="s">
        <v>87</v>
      </c>
      <c r="G28" s="10" t="n">
        <f aca="false">IF(B28="","",($B$3-B28)/365.25)</f>
        <v>1.20191649555099</v>
      </c>
      <c r="H28" s="8" t="n">
        <f aca="false">IF(B28="","",EDATE(B28,12*$D$3))</f>
        <v>46958</v>
      </c>
      <c r="I28" s="7" t="str">
        <f aca="false">IF(H28="","",IF(H28&lt;=$B$3,"1 - Past threshold: resolve now",IF(H28&lt;=$F$3,"2 - Reaches threshold by next cutoff","3 - Not yet")))</f>
        <v>3 - Not yet</v>
      </c>
      <c r="J28" s="11"/>
      <c r="K28" s="11"/>
      <c r="L28" s="12"/>
      <c r="M28" s="11"/>
      <c r="N28" s="11"/>
      <c r="O28" s="11"/>
      <c r="P28" s="13"/>
      <c r="Q28" s="13"/>
      <c r="R28" s="13"/>
      <c r="S28" s="13"/>
      <c r="T28" s="9" t="str">
        <f aca="false">IF(COUNT(P28:S28)=0,"",ROUND(E28-N(P28)-N(Q28)-N(R28)-N(S28),2))</f>
        <v/>
      </c>
      <c r="U28" s="11"/>
      <c r="V28" s="11"/>
      <c r="W28" s="11"/>
    </row>
    <row r="29" customFormat="false" ht="15" hidden="false" customHeight="false" outlineLevel="0" collapsed="false">
      <c r="A29" s="7" t="n">
        <v>24</v>
      </c>
      <c r="B29" s="8" t="n">
        <v>45873</v>
      </c>
      <c r="C29" s="7" t="s">
        <v>88</v>
      </c>
      <c r="D29" s="7"/>
      <c r="E29" s="9" t="n">
        <v>595</v>
      </c>
      <c r="F29" s="7" t="s">
        <v>89</v>
      </c>
      <c r="G29" s="10" t="n">
        <f aca="false">IF(B29="","",($B$3-B29)/365.25)</f>
        <v>1.17180013689254</v>
      </c>
      <c r="H29" s="8" t="n">
        <f aca="false">IF(B29="","",EDATE(B29,12*$D$3))</f>
        <v>46969</v>
      </c>
      <c r="I29" s="7" t="str">
        <f aca="false">IF(H29="","",IF(H29&lt;=$B$3,"1 - Past threshold: resolve now",IF(H29&lt;=$F$3,"2 - Reaches threshold by next cutoff","3 - Not yet")))</f>
        <v>3 - Not yet</v>
      </c>
      <c r="J29" s="11"/>
      <c r="K29" s="11"/>
      <c r="L29" s="12"/>
      <c r="M29" s="11"/>
      <c r="N29" s="11"/>
      <c r="O29" s="11"/>
      <c r="P29" s="13"/>
      <c r="Q29" s="13"/>
      <c r="R29" s="13"/>
      <c r="S29" s="13"/>
      <c r="T29" s="9" t="str">
        <f aca="false">IF(COUNT(P29:S29)=0,"",ROUND(E29-N(P29)-N(Q29)-N(R29)-N(S29),2))</f>
        <v/>
      </c>
      <c r="U29" s="11"/>
      <c r="V29" s="11"/>
      <c r="W29" s="11"/>
    </row>
    <row r="30" customFormat="false" ht="15" hidden="false" customHeight="false" outlineLevel="0" collapsed="false">
      <c r="A30" s="7" t="n">
        <v>25</v>
      </c>
      <c r="B30" s="8" t="n">
        <v>45888</v>
      </c>
      <c r="C30" s="7" t="s">
        <v>90</v>
      </c>
      <c r="D30" s="7"/>
      <c r="E30" s="9" t="n">
        <v>644</v>
      </c>
      <c r="F30" s="7" t="s">
        <v>91</v>
      </c>
      <c r="G30" s="10" t="n">
        <f aca="false">IF(B30="","",($B$3-B30)/365.25)</f>
        <v>1.13073237508556</v>
      </c>
      <c r="H30" s="8" t="n">
        <f aca="false">IF(B30="","",EDATE(B30,12*$D$3))</f>
        <v>46984</v>
      </c>
      <c r="I30" s="7" t="str">
        <f aca="false">IF(H30="","",IF(H30&lt;=$B$3,"1 - Past threshold: resolve now",IF(H30&lt;=$F$3,"2 - Reaches threshold by next cutoff","3 - Not yet")))</f>
        <v>3 - Not yet</v>
      </c>
      <c r="J30" s="11"/>
      <c r="K30" s="11"/>
      <c r="L30" s="12"/>
      <c r="M30" s="11"/>
      <c r="N30" s="11"/>
      <c r="O30" s="11"/>
      <c r="P30" s="13"/>
      <c r="Q30" s="13"/>
      <c r="R30" s="13"/>
      <c r="S30" s="13"/>
      <c r="T30" s="9" t="str">
        <f aca="false">IF(COUNT(P30:S30)=0,"",ROUND(E30-N(P30)-N(Q30)-N(R30)-N(S30),2))</f>
        <v/>
      </c>
      <c r="U30" s="11"/>
      <c r="V30" s="11"/>
      <c r="W30" s="11"/>
    </row>
    <row r="31" customFormat="false" ht="15" hidden="false" customHeight="false" outlineLevel="0" collapsed="false">
      <c r="A31" s="7" t="n">
        <v>26</v>
      </c>
      <c r="B31" s="8" t="n">
        <v>45974</v>
      </c>
      <c r="C31" s="7" t="s">
        <v>92</v>
      </c>
      <c r="D31" s="7"/>
      <c r="E31" s="9" t="n">
        <v>2000</v>
      </c>
      <c r="F31" s="7" t="s">
        <v>93</v>
      </c>
      <c r="G31" s="10" t="n">
        <f aca="false">IF(B31="","",($B$3-B31)/365.25)</f>
        <v>0.895277207392197</v>
      </c>
      <c r="H31" s="8" t="n">
        <f aca="false">IF(B31="","",EDATE(B31,12*$D$3))</f>
        <v>47070</v>
      </c>
      <c r="I31" s="7" t="str">
        <f aca="false">IF(H31="","",IF(H31&lt;=$B$3,"1 - Past threshold: resolve now",IF(H31&lt;=$F$3,"2 - Reaches threshold by next cutoff","3 - Not yet")))</f>
        <v>3 - Not yet</v>
      </c>
      <c r="J31" s="11"/>
      <c r="K31" s="11"/>
      <c r="L31" s="12"/>
      <c r="M31" s="11"/>
      <c r="N31" s="11"/>
      <c r="O31" s="11"/>
      <c r="P31" s="13"/>
      <c r="Q31" s="13"/>
      <c r="R31" s="13"/>
      <c r="S31" s="13"/>
      <c r="T31" s="9" t="str">
        <f aca="false">IF(COUNT(P31:S31)=0,"",ROUND(E31-N(P31)-N(Q31)-N(R31)-N(S31),2))</f>
        <v/>
      </c>
      <c r="U31" s="11"/>
      <c r="V31" s="11"/>
      <c r="W31" s="11"/>
    </row>
    <row r="32" customFormat="false" ht="15" hidden="false" customHeight="false" outlineLevel="0" collapsed="false">
      <c r="A32" s="7" t="n">
        <v>27</v>
      </c>
      <c r="B32" s="8" t="n">
        <v>45985</v>
      </c>
      <c r="C32" s="7" t="s">
        <v>77</v>
      </c>
      <c r="D32" s="7"/>
      <c r="E32" s="9" t="n">
        <v>1462.12</v>
      </c>
      <c r="F32" s="7" t="s">
        <v>94</v>
      </c>
      <c r="G32" s="10" t="n">
        <f aca="false">IF(B32="","",($B$3-B32)/365.25)</f>
        <v>0.865160848733744</v>
      </c>
      <c r="H32" s="8" t="n">
        <f aca="false">IF(B32="","",EDATE(B32,12*$D$3))</f>
        <v>47081</v>
      </c>
      <c r="I32" s="7" t="str">
        <f aca="false">IF(H32="","",IF(H32&lt;=$B$3,"1 - Past threshold: resolve now",IF(H32&lt;=$F$3,"2 - Reaches threshold by next cutoff","3 - Not yet")))</f>
        <v>3 - Not yet</v>
      </c>
      <c r="J32" s="11"/>
      <c r="K32" s="11"/>
      <c r="L32" s="12"/>
      <c r="M32" s="11"/>
      <c r="N32" s="11"/>
      <c r="O32" s="11"/>
      <c r="P32" s="13"/>
      <c r="Q32" s="13"/>
      <c r="R32" s="13"/>
      <c r="S32" s="13"/>
      <c r="T32" s="9" t="str">
        <f aca="false">IF(COUNT(P32:S32)=0,"",ROUND(E32-N(P32)-N(Q32)-N(R32)-N(S32),2))</f>
        <v/>
      </c>
      <c r="U32" s="11"/>
      <c r="V32" s="11"/>
      <c r="W32" s="11"/>
    </row>
    <row r="33" customFormat="false" ht="15" hidden="false" customHeight="false" outlineLevel="0" collapsed="false">
      <c r="A33" s="7" t="n">
        <v>28</v>
      </c>
      <c r="B33" s="8" t="n">
        <v>46008</v>
      </c>
      <c r="C33" s="7" t="s">
        <v>95</v>
      </c>
      <c r="D33" s="7"/>
      <c r="E33" s="9" t="n">
        <v>1060</v>
      </c>
      <c r="F33" s="7" t="s">
        <v>96</v>
      </c>
      <c r="G33" s="10" t="n">
        <f aca="false">IF(B33="","",($B$3-B33)/365.25)</f>
        <v>0.802190280629706</v>
      </c>
      <c r="H33" s="8" t="n">
        <f aca="false">IF(B33="","",EDATE(B33,12*$D$3))</f>
        <v>47104</v>
      </c>
      <c r="I33" s="7" t="str">
        <f aca="false">IF(H33="","",IF(H33&lt;=$B$3,"1 - Past threshold: resolve now",IF(H33&lt;=$F$3,"2 - Reaches threshold by next cutoff","3 - Not yet")))</f>
        <v>3 - Not yet</v>
      </c>
      <c r="J33" s="11"/>
      <c r="K33" s="11"/>
      <c r="L33" s="12"/>
      <c r="M33" s="11"/>
      <c r="N33" s="11"/>
      <c r="O33" s="11"/>
      <c r="P33" s="13"/>
      <c r="Q33" s="13"/>
      <c r="R33" s="13"/>
      <c r="S33" s="13"/>
      <c r="T33" s="9" t="str">
        <f aca="false">IF(COUNT(P33:S33)=0,"",ROUND(E33-N(P33)-N(Q33)-N(R33)-N(S33),2))</f>
        <v/>
      </c>
      <c r="U33" s="11"/>
      <c r="V33" s="11"/>
      <c r="W33" s="11"/>
    </row>
    <row r="34" customFormat="false" ht="15" hidden="false" customHeight="false" outlineLevel="0" collapsed="false">
      <c r="A34" s="7" t="n">
        <v>29</v>
      </c>
      <c r="B34" s="8" t="n">
        <v>46055</v>
      </c>
      <c r="C34" s="7" t="s">
        <v>77</v>
      </c>
      <c r="D34" s="7"/>
      <c r="E34" s="9" t="n">
        <v>625</v>
      </c>
      <c r="F34" s="7"/>
      <c r="G34" s="10" t="n">
        <f aca="false">IF(B34="","",($B$3-B34)/365.25)</f>
        <v>0.673511293634497</v>
      </c>
      <c r="H34" s="8" t="n">
        <f aca="false">IF(B34="","",EDATE(B34,12*$D$3))</f>
        <v>47151</v>
      </c>
      <c r="I34" s="7" t="str">
        <f aca="false">IF(H34="","",IF(H34&lt;=$B$3,"1 - Past threshold: resolve now",IF(H34&lt;=$F$3,"2 - Reaches threshold by next cutoff","3 - Not yet")))</f>
        <v>3 - Not yet</v>
      </c>
      <c r="J34" s="11"/>
      <c r="K34" s="11"/>
      <c r="L34" s="12"/>
      <c r="M34" s="11"/>
      <c r="N34" s="11"/>
      <c r="O34" s="11"/>
      <c r="P34" s="13"/>
      <c r="Q34" s="13"/>
      <c r="R34" s="13"/>
      <c r="S34" s="13"/>
      <c r="T34" s="9" t="str">
        <f aca="false">IF(COUNT(P34:S34)=0,"",ROUND(E34-N(P34)-N(Q34)-N(R34)-N(S34),2))</f>
        <v/>
      </c>
      <c r="U34" s="11"/>
      <c r="V34" s="11"/>
      <c r="W34" s="11"/>
    </row>
    <row r="35" customFormat="false" ht="15" hidden="false" customHeight="false" outlineLevel="0" collapsed="false">
      <c r="A35" s="7" t="n">
        <v>30</v>
      </c>
      <c r="B35" s="8" t="n">
        <v>46132</v>
      </c>
      <c r="C35" s="7" t="s">
        <v>97</v>
      </c>
      <c r="D35" s="7"/>
      <c r="E35" s="9" t="n">
        <v>1000</v>
      </c>
      <c r="F35" s="7"/>
      <c r="G35" s="10" t="n">
        <f aca="false">IF(B35="","",($B$3-B35)/365.25)</f>
        <v>0.462696783025325</v>
      </c>
      <c r="H35" s="8" t="n">
        <f aca="false">IF(B35="","",EDATE(B35,12*$D$3))</f>
        <v>47228</v>
      </c>
      <c r="I35" s="7" t="str">
        <f aca="false">IF(H35="","",IF(H35&lt;=$B$3,"1 - Past threshold: resolve now",IF(H35&lt;=$F$3,"2 - Reaches threshold by next cutoff","3 - Not yet")))</f>
        <v>3 - Not yet</v>
      </c>
      <c r="J35" s="11"/>
      <c r="K35" s="11"/>
      <c r="L35" s="12"/>
      <c r="M35" s="11"/>
      <c r="N35" s="11"/>
      <c r="O35" s="11"/>
      <c r="P35" s="13"/>
      <c r="Q35" s="13"/>
      <c r="R35" s="13"/>
      <c r="S35" s="13"/>
      <c r="T35" s="9" t="str">
        <f aca="false">IF(COUNT(P35:S35)=0,"",ROUND(E35-N(P35)-N(Q35)-N(R35)-N(S35),2))</f>
        <v/>
      </c>
      <c r="U35" s="11"/>
      <c r="V35" s="11"/>
      <c r="W35" s="11"/>
    </row>
    <row r="36" customFormat="false" ht="15" hidden="false" customHeight="false" outlineLevel="0" collapsed="false">
      <c r="A36" s="7" t="n">
        <v>31</v>
      </c>
      <c r="B36" s="8" t="n">
        <v>46189</v>
      </c>
      <c r="C36" s="7" t="s">
        <v>77</v>
      </c>
      <c r="D36" s="7"/>
      <c r="E36" s="9" t="n">
        <v>595</v>
      </c>
      <c r="F36" s="7"/>
      <c r="G36" s="10" t="n">
        <f aca="false">IF(B36="","",($B$3-B36)/365.25)</f>
        <v>0.306639288158795</v>
      </c>
      <c r="H36" s="8" t="n">
        <f aca="false">IF(B36="","",EDATE(B36,12*$D$3))</f>
        <v>47285</v>
      </c>
      <c r="I36" s="7" t="str">
        <f aca="false">IF(H36="","",IF(H36&lt;=$B$3,"1 - Past threshold: resolve now",IF(H36&lt;=$F$3,"2 - Reaches threshold by next cutoff","3 - Not yet")))</f>
        <v>3 - Not yet</v>
      </c>
      <c r="J36" s="11"/>
      <c r="K36" s="11"/>
      <c r="L36" s="12"/>
      <c r="M36" s="11"/>
      <c r="N36" s="11"/>
      <c r="O36" s="11"/>
      <c r="P36" s="13"/>
      <c r="Q36" s="13"/>
      <c r="R36" s="13"/>
      <c r="S36" s="13"/>
      <c r="T36" s="9" t="str">
        <f aca="false">IF(COUNT(P36:S36)=0,"",ROUND(E36-N(P36)-N(Q36)-N(R36)-N(S36),2))</f>
        <v/>
      </c>
      <c r="U36" s="11"/>
      <c r="V36" s="11"/>
      <c r="W36" s="11"/>
    </row>
    <row r="37" customFormat="false" ht="15" hidden="false" customHeight="false" outlineLevel="0" collapsed="false">
      <c r="A37" s="7" t="n">
        <v>32</v>
      </c>
      <c r="B37" s="8" t="n">
        <v>46218</v>
      </c>
      <c r="C37" s="7" t="s">
        <v>98</v>
      </c>
      <c r="D37" s="7"/>
      <c r="E37" s="9" t="n">
        <v>595</v>
      </c>
      <c r="F37" s="7" t="s">
        <v>99</v>
      </c>
      <c r="G37" s="10" t="n">
        <f aca="false">IF(B37="","",($B$3-B37)/365.25)</f>
        <v>0.227241615331964</v>
      </c>
      <c r="H37" s="8" t="n">
        <f aca="false">IF(B37="","",EDATE(B37,12*$D$3))</f>
        <v>47314</v>
      </c>
      <c r="I37" s="7" t="str">
        <f aca="false">IF(H37="","",IF(H37&lt;=$B$3,"1 - Past threshold: resolve now",IF(H37&lt;=$F$3,"2 - Reaches threshold by next cutoff","3 - Not yet")))</f>
        <v>3 - Not yet</v>
      </c>
      <c r="J37" s="11"/>
      <c r="K37" s="11"/>
      <c r="L37" s="12"/>
      <c r="M37" s="11"/>
      <c r="N37" s="11"/>
      <c r="O37" s="11"/>
      <c r="P37" s="13"/>
      <c r="Q37" s="13"/>
      <c r="R37" s="13"/>
      <c r="S37" s="13"/>
      <c r="T37" s="9" t="str">
        <f aca="false">IF(COUNT(P37:S37)=0,"",ROUND(E37-N(P37)-N(Q37)-N(R37)-N(S37),2))</f>
        <v/>
      </c>
      <c r="U37" s="11"/>
      <c r="V37" s="11"/>
      <c r="W37" s="11"/>
    </row>
    <row r="38" customFormat="false" ht="15" hidden="false" customHeight="false" outlineLevel="0" collapsed="false">
      <c r="A38" s="7" t="n">
        <v>33</v>
      </c>
      <c r="B38" s="8" t="n">
        <v>46227</v>
      </c>
      <c r="C38" s="7" t="s">
        <v>100</v>
      </c>
      <c r="D38" s="7"/>
      <c r="E38" s="9" t="n">
        <v>1250</v>
      </c>
      <c r="F38" s="7"/>
      <c r="G38" s="10" t="n">
        <f aca="false">IF(B38="","",($B$3-B38)/365.25)</f>
        <v>0.202600958247776</v>
      </c>
      <c r="H38" s="8" t="n">
        <f aca="false">IF(B38="","",EDATE(B38,12*$D$3))</f>
        <v>47323</v>
      </c>
      <c r="I38" s="7" t="str">
        <f aca="false">IF(H38="","",IF(H38&lt;=$B$3,"1 - Past threshold: resolve now",IF(H38&lt;=$F$3,"2 - Reaches threshold by next cutoff","3 - Not yet")))</f>
        <v>3 - Not yet</v>
      </c>
      <c r="J38" s="11"/>
      <c r="K38" s="11"/>
      <c r="L38" s="12"/>
      <c r="M38" s="11"/>
      <c r="N38" s="11"/>
      <c r="O38" s="11"/>
      <c r="P38" s="13"/>
      <c r="Q38" s="13"/>
      <c r="R38" s="13"/>
      <c r="S38" s="13"/>
      <c r="T38" s="9" t="str">
        <f aca="false">IF(COUNT(P38:S38)=0,"",ROUND(E38-N(P38)-N(Q38)-N(R38)-N(S38),2))</f>
        <v/>
      </c>
      <c r="U38" s="11"/>
      <c r="V38" s="11"/>
      <c r="W38" s="11"/>
    </row>
    <row r="39" customFormat="false" ht="15" hidden="false" customHeight="false" outlineLevel="0" collapsed="false">
      <c r="A39" s="7" t="n">
        <v>34</v>
      </c>
      <c r="B39" s="8" t="n">
        <v>46248</v>
      </c>
      <c r="C39" s="7" t="s">
        <v>100</v>
      </c>
      <c r="D39" s="7"/>
      <c r="E39" s="9" t="n">
        <v>344</v>
      </c>
      <c r="F39" s="7" t="s">
        <v>101</v>
      </c>
      <c r="G39" s="10" t="n">
        <f aca="false">IF(B39="","",($B$3-B39)/365.25)</f>
        <v>0.145106091718001</v>
      </c>
      <c r="H39" s="8" t="n">
        <f aca="false">IF(B39="","",EDATE(B39,12*$D$3))</f>
        <v>47344</v>
      </c>
      <c r="I39" s="7" t="str">
        <f aca="false">IF(H39="","",IF(H39&lt;=$B$3,"1 - Past threshold: resolve now",IF(H39&lt;=$F$3,"2 - Reaches threshold by next cutoff","3 - Not yet")))</f>
        <v>3 - Not yet</v>
      </c>
      <c r="J39" s="11"/>
      <c r="K39" s="11"/>
      <c r="L39" s="12"/>
      <c r="M39" s="11"/>
      <c r="N39" s="11"/>
      <c r="O39" s="11"/>
      <c r="P39" s="13"/>
      <c r="Q39" s="13"/>
      <c r="R39" s="13"/>
      <c r="S39" s="13"/>
      <c r="T39" s="9" t="str">
        <f aca="false">IF(COUNT(P39:S39)=0,"",ROUND(E39-N(P39)-N(Q39)-N(R39)-N(S39),2))</f>
        <v/>
      </c>
      <c r="U39" s="11"/>
      <c r="V39" s="11"/>
      <c r="W39" s="11"/>
    </row>
    <row r="40" customFormat="false" ht="15" hidden="false" customHeight="false" outlineLevel="0" collapsed="false">
      <c r="A40" s="14" t="s">
        <v>102</v>
      </c>
      <c r="B40" s="15"/>
      <c r="C40" s="15"/>
      <c r="D40" s="15"/>
      <c r="E40" s="16" t="n">
        <f aca="false">SUM(E6:E39)</f>
        <v>29708.78</v>
      </c>
      <c r="F40" s="15"/>
      <c r="G40" s="15"/>
      <c r="H40" s="15"/>
      <c r="I40" s="15"/>
      <c r="J40" s="15"/>
      <c r="K40" s="15"/>
      <c r="L40" s="15"/>
      <c r="M40" s="15"/>
      <c r="N40" s="15"/>
      <c r="O40" s="15"/>
      <c r="P40" s="16" t="n">
        <f aca="false">SUM(P6:P39)</f>
        <v>0</v>
      </c>
      <c r="Q40" s="16" t="n">
        <f aca="false">SUM(Q6:Q39)</f>
        <v>0</v>
      </c>
      <c r="R40" s="16" t="n">
        <f aca="false">SUM(R6:R39)</f>
        <v>0</v>
      </c>
      <c r="S40" s="16" t="n">
        <f aca="false">SUM(S6:S39)</f>
        <v>0</v>
      </c>
      <c r="T40" s="15"/>
      <c r="U40" s="15"/>
      <c r="V40" s="15"/>
      <c r="W40" s="15"/>
    </row>
    <row r="42" customFormat="false" ht="15" hidden="false" customHeight="false" outlineLevel="0" collapsed="false">
      <c r="A42" s="17" t="s">
        <v>103</v>
      </c>
      <c r="E42" s="18" t="n">
        <f aca="false">SUMIF(I6:I39,"1 -*",E6:E39)</f>
        <v>419.35</v>
      </c>
    </row>
    <row r="43" customFormat="false" ht="15" hidden="false" customHeight="false" outlineLevel="0" collapsed="false">
      <c r="A43" s="17" t="s">
        <v>104</v>
      </c>
      <c r="E43" s="18" t="n">
        <f aca="false">SUMIF(I6:I39,"2 -*",E6:E39)</f>
        <v>4905</v>
      </c>
    </row>
    <row r="44" customFormat="false" ht="15" hidden="false" customHeight="false" outlineLevel="0" collapsed="false">
      <c r="A44" s="17" t="s">
        <v>105</v>
      </c>
      <c r="E44" s="4" t="n">
        <f aca="false">COUNTA(V6:V39)</f>
        <v>0</v>
      </c>
    </row>
  </sheetData>
  <autoFilter ref="A5:W39"/>
  <mergeCells count="1">
    <mergeCell ref="A2:W2"/>
  </mergeCells>
  <conditionalFormatting sqref="A6:I39">
    <cfRule type="expression" priority="2" aboveAverage="0" equalAverage="0" bottom="0" percent="0" rank="0" text="" dxfId="7">
      <formula>LEFT($I6,1)="1"</formula>
    </cfRule>
    <cfRule type="expression" priority="3" aboveAverage="0" equalAverage="0" bottom="0" percent="0" rank="0" text="" dxfId="8">
      <formula>LEFT($I6,1)="2"</formula>
    </cfRule>
  </conditionalFormatting>
  <dataValidations count="2">
    <dataValidation allowBlank="true" errorStyle="stop" operator="between" showDropDown="false" showErrorMessage="false" showInputMessage="false" sqref="U6:U206" type="list">
      <formula1>"Disbursement Authorization,Closing Disclosure,Both,None found"</formula1>
      <formula2>0</formula2>
    </dataValidation>
    <dataValidation allowBlank="true" errorStyle="stop" operator="between" showDropDown="false" showErrorMessage="false" showInputMessage="false" sqref="V6:V206" type="list">
      <formula1>"Matched - pay agent,Company fee - confirmed,Refund to payer - not ours,Agent unknown - could not identify,Already booked in Sage,Legal hold,Other - see Notes"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22"/>
  </cols>
  <sheetData>
    <row r="1" customFormat="false" ht="17.35" hidden="false" customHeight="false" outlineLevel="0" collapsed="false">
      <c r="A1" s="1" t="s">
        <v>106</v>
      </c>
    </row>
    <row r="3" customFormat="false" ht="15" hidden="false" customHeight="false" outlineLevel="0" collapsed="false">
      <c r="A3" s="4" t="s">
        <v>107</v>
      </c>
      <c r="B3" s="19" t="s">
        <v>108</v>
      </c>
    </row>
    <row r="4" customFormat="false" ht="15" hidden="false" customHeight="false" outlineLevel="0" collapsed="false">
      <c r="A4" s="4" t="s">
        <v>109</v>
      </c>
      <c r="B4" s="19" t="s">
        <v>110</v>
      </c>
    </row>
    <row r="5" customFormat="false" ht="15" hidden="false" customHeight="false" outlineLevel="0" collapsed="false">
      <c r="A5" s="4" t="s">
        <v>111</v>
      </c>
      <c r="B5" s="19" t="n">
        <v>3</v>
      </c>
    </row>
    <row r="6" customFormat="false" ht="15" hidden="false" customHeight="false" outlineLevel="0" collapsed="false">
      <c r="A6" s="4" t="s">
        <v>112</v>
      </c>
      <c r="B6" s="20" t="n">
        <v>46447</v>
      </c>
    </row>
    <row r="7" customFormat="false" ht="15" hidden="false" customHeight="false" outlineLevel="0" collapsed="false">
      <c r="A7" s="4" t="s">
        <v>113</v>
      </c>
      <c r="B7" s="21" t="n">
        <v>46301</v>
      </c>
    </row>
    <row r="8" customFormat="false" ht="15" hidden="false" customHeight="false" outlineLevel="0" collapsed="false">
      <c r="A8" s="4" t="s">
        <v>114</v>
      </c>
      <c r="B8" s="21"/>
    </row>
    <row r="9" customFormat="false" ht="31.5" hidden="false" customHeight="true" outlineLevel="0" collapsed="false">
      <c r="A9" s="4" t="s">
        <v>115</v>
      </c>
      <c r="B9" s="2" t="s">
        <v>116</v>
      </c>
      <c r="C9" s="2"/>
      <c r="D9" s="2"/>
    </row>
    <row r="11" customFormat="false" ht="31.5" hidden="false" customHeight="true" outlineLevel="0" collapsed="false">
      <c r="A11" s="2" t="s">
        <v>117</v>
      </c>
      <c r="B11" s="2"/>
      <c r="C11" s="2"/>
      <c r="D11" s="2"/>
    </row>
  </sheetData>
  <mergeCells count="2">
    <mergeCell ref="B9:D9"/>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2026-10-06T19:59:38Z</dcterms:created>
  <dc:creator>openpyxl</dc:creator>
  <dc:description/>
  <dc:language>en-US</dc:language>
  <cp:lastModifiedBy/>
  <dcterms:modified xsi:type="dcterms:W3CDTF">2026-10-06T19:59:38Z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