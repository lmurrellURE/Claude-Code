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Detail" sheetId="2" state="visible" r:id="rId4"/>
    <sheet name="Current Month" sheetId="3" state="visible" r:id="rId5"/>
    <sheet name="Gaps &amp; Next Steps" sheetId="4" state="visible" r:id="rId6"/>
    <sheet name="ICA Terms" sheetId="5" state="visible" r:id="rId7"/>
    <sheet name="Method" sheetId="6" state="visible" r:id="rId8"/>
    <sheet name="State Rules" sheetId="7" state="visible" r:id="rId9"/>
  </sheets>
  <definedNames>
    <definedName function="false" hidden="true" localSheetId="1" name="_xlnm._FilterDatabase" vbProcedure="false">Detail!$A$6:$AD$187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3" authorId="0">
      <text>
        <r>
          <rPr>
            <sz val="10"/>
            <rFont val="Arial"/>
            <family val="2"/>
          </rPr>
          <t xml:space="preserve">Input. Change to re-age every item. 10/6/2026 = date the workbook was provided.</t>
        </r>
      </text>
    </comment>
    <comment ref="B8" authorId="0">
      <text>
        <r>
          <rPr>
            <sz val="10"/>
            <rFont val="Arial"/>
            <family val="2"/>
          </rPr>
          <t xml:space="preserve">ASSUMPTION: user said fee checks are 'sometimes other small amounts' without a figure. Items at or below this threshold that are not an exact fee amount are classified 'Small amount - likely fee, review'. Change it to see the effect.</t>
        </r>
      </text>
    </comment>
    <comment ref="C4" authorId="0">
      <text>
        <r>
          <rPr>
            <sz val="10"/>
            <rFont val="Arial"/>
            <family val="2"/>
          </rPr>
          <t xml:space="preserve">Sources: user 10/6/2026 ($644, $1,044, $69); ICA Fee Structure Cheat Sheet (current: $595/$995 sale fee per side, $49 E&amp;O, $110 enhanced E&amp;O Philly, lease/referral minimums $75/$100/$125, Dallas after-cap fee $50); JV ICA Transaction Fee Summary (older schedule: $495/$895 sale fee, $45 E&amp;O). $644 = 595+49, $1,044 = 995+49, $544 = 495+49, $944 = 895+49, $69 = $65 dues + $4. Remove any amount you do not want treated as a fee. Blank cells are ignored.</t>
        </r>
      </text>
    </comment>
    <comment ref="C5" authorId="0">
      <text>
        <r>
          <rPr>
            <sz val="10"/>
            <rFont val="Arial"/>
            <family val="2"/>
          </rPr>
          <t xml:space="preserve">Per user 10/6/2026: Philly fee amounts are $495, $595, $295, $995 and $49. All but $295 are now in the all-entities row. $295 also appears as the DC referral/lease maximum in the JV fee summary.</t>
        </r>
      </text>
    </comment>
    <comment ref="C6" authorId="0">
      <text>
        <r>
          <rPr>
            <sz val="10"/>
            <rFont val="Arial"/>
            <family val="2"/>
          </rPr>
          <t xml:space="preserve">TUR legacy Transaction Fee Plan (sign-up docs and cheat sheet): $150 / $250 / $350 / $450 by commission size, $60 residential lease (cheat sheet says $100 or 10%), $179 annual fee. TUR agents on the United plan pay $595/$995 + $49, already in row 4.</t>
        </r>
      </text>
    </comment>
    <comment ref="C7" authorId="0">
      <text>
        <r>
          <rPr>
            <sz val="10"/>
            <rFont val="Arial"/>
            <family val="2"/>
          </rPr>
          <t xml:space="preserve">Leading Edge fee schedule from the cheat sheet: sale fee by price band $100 / $395 / $695 / $995 / $1,295 / $1,595 / $1,895 / $2,195 / $2,495 / $2,795; E&amp;O $0 (or $35 in holding company); fee after cap $150. All three aged Leading Edge items ($395, $150, $100) match this schedule exactly.</t>
        </r>
      </text>
    </comment>
  </commentList>
</comments>
</file>

<file path=xl/sharedStrings.xml><?xml version="1.0" encoding="utf-8"?>
<sst xmlns="http://schemas.openxmlformats.org/spreadsheetml/2006/main" count="1699" uniqueCount="749">
  <si>
    <t xml:space="preserve">Accrued Commissions - Unclaimed Property Exposure by Entity</t>
  </si>
  <si>
    <t xml:space="preserve">Source: United_Cash_Requirements.xlsx, each entity tab, 'Previous Month's Accrued Commissions' block (deposited checks not yet booked in Sage) plus the current-month 'Deposited checks' block. Extracted 10/6/2026; every entity total ties to the tab's 'outstanding amount' cell. Legend: blue = input, black = formula, green = link to another sheet, yellow fill = confirm or fill in.</t>
  </si>
  <si>
    <t xml:space="preserve">As-of date</t>
  </si>
  <si>
    <t xml:space="preserve">Fee check amounts - all entities (inputs)</t>
  </si>
  <si>
    <t xml:space="preserve">Additional fee amounts - Philly only (inputs)</t>
  </si>
  <si>
    <t xml:space="preserve">Additional fee amounts - TUR only (inputs)</t>
  </si>
  <si>
    <t xml:space="preserve">Additional fee amounts - Leading Edge only (inputs)</t>
  </si>
  <si>
    <t xml:space="preserve">Small-amount threshold</t>
  </si>
  <si>
    <t xml:space="preserve">Entity</t>
  </si>
  <si>
    <t xml:space="preserve">Default governing state = LLC formation state (owner-address state overrides per item in Detail col U)</t>
  </si>
  <si>
    <t xml:space="preserve">Prior-month accrued (unbooked deposits)</t>
  </si>
  <si>
    <t xml:space="preserve">Current-month accrued (Sept/Oct 2026 deposits)</t>
  </si>
  <si>
    <t xml:space="preserve">Total accrued per workbook</t>
  </si>
  <si>
    <t xml:space="preserve">Items (count)</t>
  </si>
  <si>
    <t xml:space="preserve">0-1 yrs</t>
  </si>
  <si>
    <t xml:space="preserve">1-2 yrs</t>
  </si>
  <si>
    <t xml:space="preserve">2-3 yrs</t>
  </si>
  <si>
    <t xml:space="preserve">3-5 yrs</t>
  </si>
  <si>
    <t xml:space="preserve">5+ yrs</t>
  </si>
  <si>
    <t xml:space="preserve">$ at fee amounts (presumed company revenue)</t>
  </si>
  <si>
    <t xml:space="preserve">$ small amounts (likely fee, review)</t>
  </si>
  <si>
    <t xml:space="preserve">$ memo-flagged (not ours / unknown / hold)</t>
  </si>
  <si>
    <t xml:space="preserve">$ larger amounts (likely includes agent commission)</t>
  </si>
  <si>
    <t xml:space="preserve">Short period (yrs)</t>
  </si>
  <si>
    <t xml:space="preserve">Long period (yrs)</t>
  </si>
  <si>
    <t xml:space="preserve">Dormant today - SHORT test - ALL items</t>
  </si>
  <si>
    <t xml:space="preserve">Dormant today - LONG test - ALL items</t>
  </si>
  <si>
    <t xml:space="preserve">Dormant today - SHORT test - likely-commission + memo-flagged only</t>
  </si>
  <si>
    <t xml:space="preserve">Dormant today - LONG test - likely-commission + memo-flagged only</t>
  </si>
  <si>
    <t xml:space="preserve">Dormant at next report cutoff - SHORT - likely-commission + memo-flagged</t>
  </si>
  <si>
    <t xml:space="preserve">Dormant at next report cutoff - LONG - likely-commission + memo-flagged</t>
  </si>
  <si>
    <t xml:space="preserve">Adopted test given independent-contractor agents</t>
  </si>
  <si>
    <t xml:space="preserve">Dormant today - ADOPTED test - likely-commission + memo-flagged</t>
  </si>
  <si>
    <t xml:space="preserve">Dormant at next report cutoff - ADOPTED test - likely-commission + memo-flagged</t>
  </si>
  <si>
    <t xml:space="preserve">Oldest item</t>
  </si>
  <si>
    <t xml:space="preserve">Office state</t>
  </si>
  <si>
    <t xml:space="preserve">Entity note (legal entity, formation, office)</t>
  </si>
  <si>
    <t xml:space="preserve">Dallas</t>
  </si>
  <si>
    <t xml:space="preserve">TX</t>
  </si>
  <si>
    <t xml:space="preserve">URE Dallas, L.L.C. - Texas LLC (TX file 32043204570, formed 12/15/2010) per Entity Management Database. Office: Texas.</t>
  </si>
  <si>
    <t xml:space="preserve">Houston</t>
  </si>
  <si>
    <t xml:space="preserve">URE Houston, L.L.C. - Texas LLC (TX 0801434954, formed 6/3/2011) per Entity Management Database. Office: Texas.</t>
  </si>
  <si>
    <t xml:space="preserve">TUR</t>
  </si>
  <si>
    <t xml:space="preserve">Quick Close Properties, LLC dba Texas United Realty - Texas LLC (TX 0800329212) per Entity Management Database. Office: Texas.</t>
  </si>
  <si>
    <t xml:space="preserve">Chicago</t>
  </si>
  <si>
    <t xml:space="preserve">IL</t>
  </si>
  <si>
    <t xml:space="preserve">URE Chicago, L.L.C. - TEXAS LLC (TX 0801464335, formed 8/10/2011), registered as a foreign LLC in Illinois (3661385) per Entity Management Database. Office: Illinois. Unknown-owner items therefore default to TEXAS under the second priority rule; items with an Illinois agent address go to Illinois.</t>
  </si>
  <si>
    <t xml:space="preserve">Philly</t>
  </si>
  <si>
    <t xml:space="preserve">PA</t>
  </si>
  <si>
    <t xml:space="preserve">URE Philadelphia, L.L.C. - TEXAS LLC (TX 0801490897, formed 10/6/2011), registered in PA, MD and NJ per Entity Management Database. Office: Pennsylvania. Unknown-owner items therefore default to TEXAS under the second priority rule; items with a Pennsylvania agent address go to Pennsylvania.</t>
  </si>
  <si>
    <t xml:space="preserve">Gallery</t>
  </si>
  <si>
    <t xml:space="preserve">FL</t>
  </si>
  <si>
    <t xml:space="preserve">RaySon Partners, LLC d/b/a URE Gallery - Florida LLC (FL L22000422171) per Entity Management Database. Office: Florida.</t>
  </si>
  <si>
    <t xml:space="preserve">Leading Edge</t>
  </si>
  <si>
    <t xml:space="preserve">AL</t>
  </si>
  <si>
    <t xml:space="preserve">Leading Edge Realty - Alabama (AL 000-273-581) per Entity Management Database (55% JV). Office: Alabama.</t>
  </si>
  <si>
    <t xml:space="preserve">DC</t>
  </si>
  <si>
    <t xml:space="preserve">URE Washington DC, L.L.C. - Texas LLC (TX 801575176, formed 3/30/2012) per Entity Management Database. $0 accrued balance; DC rules not researched.</t>
  </si>
  <si>
    <t xml:space="preserve">TOTAL</t>
  </si>
  <si>
    <t xml:space="preserve">How to read this</t>
  </si>
  <si>
    <t xml:space="preserve">Classification (Detail col N) uses the fee amounts in rows 4-7 and the threshold in B8: an exact fee amount = company revenue, not unclaimed property. Decision 10/6/2026: fee checks are NOT moved to revenue en masse; they are recognized through the ordinary matching process and the year-end revenue true-up, and only an item being written off at a semi-annual threshold review is booked to revenue at that time. At or under the threshold = likely fee, review. Memo-flagged = memo says not ours / unknown agent / duplicate / legal hold (owed back to the payer or needs resolution). Everything else = larger amount that likely includes an agent's commission split - this is the unclaimed-property population.</t>
  </si>
  <si>
    <t xml:space="preserve">Columns R-S apply the dormancy tests to ALL unbooked items (upper bound). Columns T-W apply them only to the likely-commission and memo-flagged items. Even the T-W figures are upper bounds: within a larger check, only the agent's share (typically the check less the company's fee / split) is reportable; the company's share is revenue.</t>
  </si>
  <si>
    <t xml:space="preserve">SHORT test = the state's period for wages / compensation for personal services. LONG test = the general catch-all period. Column X picks the likely test for each entity's default governing state now that agents are confirmed to be independent contractors (Texas and Florida: LONG; Illinois, Pennsylvania, Alabama: SHORT), and columns Y-Z apply it item by item, so an item whose owner state has been filled in uses its own state's test. See State Rules cols M-N for the basis. Management adopted these tests on 10/6/2026 after the statutes were verified; Texas applies the 3-year rule and the 1-year wage rule is not used.</t>
  </si>
  <si>
    <t xml:space="preserve">Unknown agent = second priority rule. Per the Entity Management Database, URE Dallas, URE Houston, Quick Close Properties (TUR), URE Chicago and URE Philadelphia are all TEXAS LLCs; Gallery (RaySon Partners) is Florida; Leading Edge Realty is Alabama. Column B holds that formation state as each entity's DEFAULT governing state, so unknown-agent items at Chicago and Philly are tested under TEXAS rules (3-year general period for contractor commissions), not Illinois or Pennsylvania. When an agent's last-known address state is entered in Detail col U, that item switches to the address state's rules (first priority rule). Office state is shown in col AB for reference.</t>
  </si>
  <si>
    <t xml:space="preserve">Current-month accrued (column D) is all September/October 2026 deposits in normal matching workflow. It is included so the total ties to the cash-requirements Summary, but none of it is near any dormancy period.</t>
  </si>
  <si>
    <t xml:space="preserve">Nothing here is legal advice. Dormancy periods, report dates, due-diligence rules, VDA terms and anti-limitation provisions on the State Rules tab were verified against the statute text and state treasury pages on 10/6/2026 (URLs in the Sources column). They state the rules; applying them to independent-contractor commissions and to the ICA forfeiture clauses is a judgment for counsel to confirm before filing.</t>
  </si>
  <si>
    <t xml:space="preserve">Unbooked deposited checks - item detail (prior-month accrued commissions block of each entity tab)</t>
  </si>
  <si>
    <t xml:space="preserve">Columns A-J are copied from the source workbook. K-S and Z-AA are formulas. T-Y (yellow) are for you to fill in from Paperless Pipeline / Sage: once the agent share is entered, column Z shows the dollar amount that is both dormant (long test) and owed to someone else. Column AA is the heuristic stand-in until then.</t>
  </si>
  <si>
    <t xml:space="preserve">Classification (col N) is driven by Summary rows 4-7 (fee amounts, with Philly-only, TUR-only and Leading Edge-only lists) and Summary B8 (small-amount threshold). Col M flags memos that say not ours / unknown agent / duplicate / legal hold / '?'. Classifications are hints, not conclusions.</t>
  </si>
  <si>
    <t xml:space="preserve">As-of date (linked)</t>
  </si>
  <si>
    <t xml:space="preserve">Governing state (owner state if filled in col U, else LLC formation state)</t>
  </si>
  <si>
    <t xml:space="preserve">Bank / block</t>
  </si>
  <si>
    <t xml:space="preserve">Source row</t>
  </si>
  <si>
    <t xml:space="preserve">Deposit date</t>
  </si>
  <si>
    <t xml:space="preserve">Check #</t>
  </si>
  <si>
    <t xml:space="preserve">Payer / check writer</t>
  </si>
  <si>
    <t xml:space="preserve">Amount</t>
  </si>
  <si>
    <t xml:space="preserve">Memo (source)</t>
  </si>
  <si>
    <t xml:space="preserve">Booked in Sage?</t>
  </si>
  <si>
    <t xml:space="preserve">Age (yrs)</t>
  </si>
  <si>
    <t xml:space="preserve">Age bucket</t>
  </si>
  <si>
    <t xml:space="preserve">Memo flag?</t>
  </si>
  <si>
    <t xml:space="preserve">Classification</t>
  </si>
  <si>
    <t xml:space="preserve">Dormant date - SHORT</t>
  </si>
  <si>
    <t xml:space="preserve">Dormant date - LONG</t>
  </si>
  <si>
    <t xml:space="preserve">Dormant at next cutoff - SHORT?</t>
  </si>
  <si>
    <t xml:space="preserve">Dormant at next cutoff - LONG?</t>
  </si>
  <si>
    <t xml:space="preserve">Agent / owner name (fill in)</t>
  </si>
  <si>
    <t xml:space="preserve">Owner last-known state (fill in)</t>
  </si>
  <si>
    <t xml:space="preserve">Brokerage fee / E&amp;O share $ (fill in)</t>
  </si>
  <si>
    <t xml:space="preserve">Agent share $ (fill in)</t>
  </si>
  <si>
    <t xml:space="preserve">Refund to payer $ (fill in)</t>
  </si>
  <si>
    <t xml:space="preserve">Resolution / status (fill in)</t>
  </si>
  <si>
    <t xml:space="preserve">Reportable if dormant (LONG test) = agent + refund share (from fill-in)</t>
  </si>
  <si>
    <t xml:space="preserve">Heuristic reportable population $ (larger-amount + memo-flagged items)</t>
  </si>
  <si>
    <t xml:space="preserve">Adopted test for this item's governing state</t>
  </si>
  <si>
    <t xml:space="preserve">Dormant date - ADOPTED test</t>
  </si>
  <si>
    <t xml:space="preserve">Dormant at next cutoff - ADOPTED test?</t>
  </si>
  <si>
    <t xml:space="preserve">1839</t>
  </si>
  <si>
    <t xml:space="preserve">Jogip Management</t>
  </si>
  <si>
    <t xml:space="preserve">Vera Garza2538 Emmett St-agent hasn’t uploaded docs, emailed again</t>
  </si>
  <si>
    <t xml:space="preserve">No</t>
  </si>
  <si>
    <t xml:space="preserve">167928</t>
  </si>
  <si>
    <t xml:space="preserve">Freedom Title</t>
  </si>
  <si>
    <t xml:space="preserve">File 23067608FM-CC</t>
  </si>
  <si>
    <t xml:space="preserve">593095968</t>
  </si>
  <si>
    <t xml:space="preserve">Chicago Title of Texas</t>
  </si>
  <si>
    <t xml:space="preserve">15215</t>
  </si>
  <si>
    <t xml:space="preserve">JARA INVESTMENTS INC</t>
  </si>
  <si>
    <t xml:space="preserve">9478743248</t>
  </si>
  <si>
    <t xml:space="preserve">Jaden International</t>
  </si>
  <si>
    <t xml:space="preserve">6050 N Central Exp 314-not for this address unsure of address</t>
  </si>
  <si>
    <t xml:space="preserve">Yes</t>
  </si>
  <si>
    <t xml:space="preserve">310781</t>
  </si>
  <si>
    <t xml:space="preserve">Colliers International</t>
  </si>
  <si>
    <t xml:space="preserve">5384</t>
  </si>
  <si>
    <t xml:space="preserve">Roxana Handal</t>
  </si>
  <si>
    <t xml:space="preserve">554402</t>
  </si>
  <si>
    <t xml:space="preserve">Soleste West Gables c/o Waterton Residential</t>
  </si>
  <si>
    <t xml:space="preserve">158770</t>
  </si>
  <si>
    <t xml:space="preserve">McKnight Title</t>
  </si>
  <si>
    <t xml:space="preserve">7201577987</t>
  </si>
  <si>
    <t xml:space="preserve">Hampton on Jupiter</t>
  </si>
  <si>
    <t xml:space="preserve">Summit Property Management</t>
  </si>
  <si>
    <t xml:space="preserve">3536</t>
  </si>
  <si>
    <t xml:space="preserve">Guildford LLC</t>
  </si>
  <si>
    <t xml:space="preserve">709 Golden Bear- Junko Cummings- ck 3604 processed with this transaction(duplicate?)</t>
  </si>
  <si>
    <t xml:space="preserve">7725</t>
  </si>
  <si>
    <t xml:space="preserve">Go Spring Branch</t>
  </si>
  <si>
    <t xml:space="preserve">1311 12th St- Lease</t>
  </si>
  <si>
    <t xml:space="preserve">22833</t>
  </si>
  <si>
    <t xml:space="preserve">5740 Cutler Ln- waiting to hear back from title about missing portion</t>
  </si>
  <si>
    <t xml:space="preserve">3399</t>
  </si>
  <si>
    <t xml:space="preserve">Texas Title Escrow Account</t>
  </si>
  <si>
    <t xml:space="preserve">3409</t>
  </si>
  <si>
    <t xml:space="preserve">36710</t>
  </si>
  <si>
    <t xml:space="preserve">TC Lincoln Centre- Cushman &amp; Wakefield</t>
  </si>
  <si>
    <t xml:space="preserve">30197</t>
  </si>
  <si>
    <t xml:space="preserve">Diversified National Title</t>
  </si>
  <si>
    <t xml:space="preserve">103232</t>
  </si>
  <si>
    <t xml:space="preserve">CK 3000000008</t>
  </si>
  <si>
    <t xml:space="preserve">2304 Magnolia-Not in PP, not sure who agent is</t>
  </si>
  <si>
    <t xml:space="preserve">CK 14122</t>
  </si>
  <si>
    <t xml:space="preserve">5322 Columbia Ave (their transaction #059210-A)-Not in PP</t>
  </si>
  <si>
    <t xml:space="preserve">CK 2704</t>
  </si>
  <si>
    <t xml:space="preserve">18333 Roehampton- supposed to be for 450</t>
  </si>
  <si>
    <t xml:space="preserve">CK 5603</t>
  </si>
  <si>
    <t xml:space="preserve">The Ashton-not sure of property address or agent </t>
  </si>
  <si>
    <t xml:space="preserve">7005146010</t>
  </si>
  <si>
    <t xml:space="preserve">37572</t>
  </si>
  <si>
    <t xml:space="preserve">1423 Main St.</t>
  </si>
  <si>
    <t xml:space="preserve">502001684</t>
  </si>
  <si>
    <t xml:space="preserve">3430 Calhoun Ave</t>
  </si>
  <si>
    <t xml:space="preserve">2209</t>
  </si>
  <si>
    <t xml:space="preserve">Whitney Williams written by Danny Elms</t>
  </si>
  <si>
    <t xml:space="preserve">41343</t>
  </si>
  <si>
    <t xml:space="preserve">7618 Harbor Dr</t>
  </si>
  <si>
    <t xml:space="preserve">1233</t>
  </si>
  <si>
    <t xml:space="preserve">3356</t>
  </si>
  <si>
    <t xml:space="preserve">208 Glenwic Place, agent: Deba Cadet</t>
  </si>
  <si>
    <t xml:space="preserve">353531</t>
  </si>
  <si>
    <t xml:space="preserve">515</t>
  </si>
  <si>
    <t xml:space="preserve">Referral Fees R. Shaw #208</t>
  </si>
  <si>
    <t xml:space="preserve">27966</t>
  </si>
  <si>
    <t xml:space="preserve">Coastal Realty Information</t>
  </si>
  <si>
    <t xml:space="preserve">573013801</t>
  </si>
  <si>
    <t xml:space="preserve">Commissions</t>
  </si>
  <si>
    <t xml:space="preserve">3601909</t>
  </si>
  <si>
    <t xml:space="preserve">104315</t>
  </si>
  <si>
    <t xml:space="preserve">Phillips Edison Grocery Center</t>
  </si>
  <si>
    <t xml:space="preserve">Cashier's Check - No memo</t>
  </si>
  <si>
    <t xml:space="preserve">1638</t>
  </si>
  <si>
    <t xml:space="preserve">LROC, LLC</t>
  </si>
  <si>
    <t xml:space="preserve">7226642918</t>
  </si>
  <si>
    <t xml:space="preserve">Bellrock Upper North(?)</t>
  </si>
  <si>
    <t xml:space="preserve">[review check stub]</t>
  </si>
  <si>
    <t xml:space="preserve">1480</t>
  </si>
  <si>
    <t xml:space="preserve">NEIMAX LLC</t>
  </si>
  <si>
    <t xml:space="preserve">Rental Commission</t>
  </si>
  <si>
    <t xml:space="preserve">928546934</t>
  </si>
  <si>
    <t xml:space="preserve">630 Woodacre</t>
  </si>
  <si>
    <t xml:space="preserve">103690</t>
  </si>
  <si>
    <t xml:space="preserve">MH Title</t>
  </si>
  <si>
    <t xml:space="preserve">510 Simmons Dr</t>
  </si>
  <si>
    <t xml:space="preserve">82931</t>
  </si>
  <si>
    <t xml:space="preserve">Steward Title</t>
  </si>
  <si>
    <t xml:space="preserve">UR25025(?)</t>
  </si>
  <si>
    <t xml:space="preserve">392627</t>
  </si>
  <si>
    <t xml:space="preserve">Long Realty</t>
  </si>
  <si>
    <t xml:space="preserve">37753 S. Golf Course Dr.(?)</t>
  </si>
  <si>
    <t xml:space="preserve">2500</t>
  </si>
  <si>
    <t xml:space="preserve">S2 Hyde Park</t>
  </si>
  <si>
    <t xml:space="preserve">2285</t>
  </si>
  <si>
    <t xml:space="preserve">Rendon Realty</t>
  </si>
  <si>
    <t xml:space="preserve">3205 Harvard St</t>
  </si>
  <si>
    <t xml:space="preserve">2257</t>
  </si>
  <si>
    <t xml:space="preserve">Daniel Elms</t>
  </si>
  <si>
    <t xml:space="preserve">5110 Lyndsley</t>
  </si>
  <si>
    <t xml:space="preserve">1675</t>
  </si>
  <si>
    <t xml:space="preserve">Tracy Realty</t>
  </si>
  <si>
    <t xml:space="preserve">410 E. Brackett</t>
  </si>
  <si>
    <t xml:space="preserve">178460</t>
  </si>
  <si>
    <t xml:space="preserve">eXp Realty</t>
  </si>
  <si>
    <t xml:space="preserve">1012 Bessie Dr,</t>
  </si>
  <si>
    <t xml:space="preserve">1235</t>
  </si>
  <si>
    <t xml:space="preserve">Mazahra Pasha Mohammad</t>
  </si>
  <si>
    <t xml:space="preserve">6401 Everest Dr</t>
  </si>
  <si>
    <t xml:space="preserve">4790</t>
  </si>
  <si>
    <t xml:space="preserve">2402 Navigation(?) Blvd. 316 &amp; 843</t>
  </si>
  <si>
    <t xml:space="preserve">1515</t>
  </si>
  <si>
    <t xml:space="preserve">Blue Bpmmet Properties</t>
  </si>
  <si>
    <t xml:space="preserve">Gaylord Drive 8931 #157</t>
  </si>
  <si>
    <t xml:space="preserve">17830</t>
  </si>
  <si>
    <t xml:space="preserve">26398</t>
  </si>
  <si>
    <t xml:space="preserve">4357</t>
  </si>
  <si>
    <t xml:space="preserve">Aaron Shorey</t>
  </si>
  <si>
    <t xml:space="preserve">185 Country Rd 709</t>
  </si>
  <si>
    <t xml:space="preserve">14812016</t>
  </si>
  <si>
    <t xml:space="preserve">Stewart Title Company</t>
  </si>
  <si>
    <t xml:space="preserve">File:22339037767</t>
  </si>
  <si>
    <t xml:space="preserve">2127</t>
  </si>
  <si>
    <t xml:space="preserve">WY-TX CO LLC</t>
  </si>
  <si>
    <t xml:space="preserve">3525 Sage #1009</t>
  </si>
  <si>
    <t xml:space="preserve">2128</t>
  </si>
  <si>
    <t xml:space="preserve">103164</t>
  </si>
  <si>
    <t xml:space="preserve">Exp Realty</t>
  </si>
  <si>
    <t xml:space="preserve">6223 Millbridge-on hold due to agent commiting fraud- n not disburse per law enforcement and TREC</t>
  </si>
  <si>
    <t xml:space="preserve">593013245</t>
  </si>
  <si>
    <t xml:space="preserve">Fidelity National Title</t>
  </si>
  <si>
    <t xml:space="preserve">330721</t>
  </si>
  <si>
    <t xml:space="preserve">cant locate</t>
  </si>
  <si>
    <t xml:space="preserve">3007</t>
  </si>
  <si>
    <t xml:space="preserve">Secured Title of Texas</t>
  </si>
  <si>
    <t xml:space="preserve">SWSTG4645</t>
  </si>
  <si>
    <t xml:space="preserve">323248</t>
  </si>
  <si>
    <t xml:space="preserve">Southland Title</t>
  </si>
  <si>
    <t xml:space="preserve">323050</t>
  </si>
  <si>
    <t xml:space="preserve">323054</t>
  </si>
  <si>
    <t xml:space="preserve">42740</t>
  </si>
  <si>
    <t xml:space="preserve">Capital Title of Texas</t>
  </si>
  <si>
    <t xml:space="preserve">591110199</t>
  </si>
  <si>
    <t xml:space="preserve">Fidelity National Title Agency</t>
  </si>
  <si>
    <t xml:space="preserve">7213229449</t>
  </si>
  <si>
    <t xml:space="preserve">Dallas Transaction 4110 Fairmount 2171</t>
  </si>
  <si>
    <t xml:space="preserve">275615</t>
  </si>
  <si>
    <t xml:space="preserve">Move Sales, Inc</t>
  </si>
  <si>
    <t xml:space="preserve">3045688</t>
  </si>
  <si>
    <t xml:space="preserve">Old Republic Title</t>
  </si>
  <si>
    <t xml:space="preserve">14111</t>
  </si>
  <si>
    <t xml:space="preserve">HomeRiver Group - Houston</t>
  </si>
  <si>
    <t xml:space="preserve">31310</t>
  </si>
  <si>
    <t xml:space="preserve">Keller Williams Realty Professionals</t>
  </si>
  <si>
    <t xml:space="preserve">5803 Southmund St #B</t>
  </si>
  <si>
    <t xml:space="preserve">1179006686</t>
  </si>
  <si>
    <t xml:space="preserve">674</t>
  </si>
  <si>
    <t xml:space="preserve">Fresh Start Home Services</t>
  </si>
  <si>
    <t xml:space="preserve">310 Magnolia </t>
  </si>
  <si>
    <t xml:space="preserve">103931</t>
  </si>
  <si>
    <t xml:space="preserve">InFocus Title LLC</t>
  </si>
  <si>
    <t xml:space="preserve">7042</t>
  </si>
  <si>
    <t xml:space="preserve">2507 Montrose 22</t>
  </si>
  <si>
    <t xml:space="preserve">533019415</t>
  </si>
  <si>
    <t xml:space="preserve">2332 Shadow Falls Ln</t>
  </si>
  <si>
    <t xml:space="preserve">1527</t>
  </si>
  <si>
    <t xml:space="preserve">104004</t>
  </si>
  <si>
    <t xml:space="preserve">1334</t>
  </si>
  <si>
    <t xml:space="preserve">101147</t>
  </si>
  <si>
    <t xml:space="preserve">916573566</t>
  </si>
  <si>
    <t xml:space="preserve">5th Stream Realty LLC</t>
  </si>
  <si>
    <t xml:space="preserve">8504541397</t>
  </si>
  <si>
    <t xml:space="preserve">AvidXchange, Inc</t>
  </si>
  <si>
    <t xml:space="preserve">593035158</t>
  </si>
  <si>
    <t xml:space="preserve">103360</t>
  </si>
  <si>
    <t xml:space="preserve">6919 Calhoun Road</t>
  </si>
  <si>
    <t xml:space="preserve">211594</t>
  </si>
  <si>
    <t xml:space="preserve">LPT Realty</t>
  </si>
  <si>
    <t xml:space="preserve">329485 - 19410 Bold River Road</t>
  </si>
  <si>
    <t xml:space="preserve">514</t>
  </si>
  <si>
    <t xml:space="preserve">Evergreen Residential Holdings, LLC</t>
  </si>
  <si>
    <t xml:space="preserve">5710 Quinn Landing Houston, TX 77091</t>
  </si>
  <si>
    <t xml:space="preserve">2419</t>
  </si>
  <si>
    <t xml:space="preserve">SG Management LLC</t>
  </si>
  <si>
    <t xml:space="preserve">1299881</t>
  </si>
  <si>
    <t xml:space="preserve">TDECU</t>
  </si>
  <si>
    <t xml:space="preserve">3318 Schroeder</t>
  </si>
  <si>
    <t xml:space="preserve">104665</t>
  </si>
  <si>
    <t xml:space="preserve">Listing agent commission</t>
  </si>
  <si>
    <t xml:space="preserve">232098</t>
  </si>
  <si>
    <t xml:space="preserve">Patten title</t>
  </si>
  <si>
    <t xml:space="preserve">2703 Glenn Lakes</t>
  </si>
  <si>
    <t xml:space="preserve">64427</t>
  </si>
  <si>
    <t xml:space="preserve">1791141</t>
  </si>
  <si>
    <t xml:space="preserve">43756</t>
  </si>
  <si>
    <t xml:space="preserve">WPG National Title</t>
  </si>
  <si>
    <t xml:space="preserve">23-121431</t>
  </si>
  <si>
    <t xml:space="preserve">10458</t>
  </si>
  <si>
    <t xml:space="preserve">Partners Title Company</t>
  </si>
  <si>
    <t xml:space="preserve">Order # WL-7199</t>
  </si>
  <si>
    <t xml:space="preserve">518005123</t>
  </si>
  <si>
    <t xml:space="preserve">? Couldn't locate</t>
  </si>
  <si>
    <t xml:space="preserve">526070032</t>
  </si>
  <si>
    <t xml:space="preserve">Alamo Title Company</t>
  </si>
  <si>
    <t xml:space="preserve">393737</t>
  </si>
  <si>
    <t xml:space="preserve">LM - Believe this transaction got processed as TC, but we owed Renee Meals the payment</t>
  </si>
  <si>
    <t xml:space="preserve">6110 Marble Hollow Ln</t>
  </si>
  <si>
    <t xml:space="preserve">43891</t>
  </si>
  <si>
    <t xml:space="preserve">Botts Title</t>
  </si>
  <si>
    <t xml:space="preserve">1130</t>
  </si>
  <si>
    <t xml:space="preserve">Dunbar Development LLC</t>
  </si>
  <si>
    <t xml:space="preserve">19736 Dunbar Ave </t>
  </si>
  <si>
    <t xml:space="preserve">518006144</t>
  </si>
  <si>
    <t xml:space="preserve">2269</t>
  </si>
  <si>
    <t xml:space="preserve">Wynnewood at Wortham APTS</t>
  </si>
  <si>
    <t xml:space="preserve">120455</t>
  </si>
  <si>
    <t xml:space="preserve">2027</t>
  </si>
  <si>
    <t xml:space="preserve">Harper Property Management</t>
  </si>
  <si>
    <t xml:space="preserve">1037</t>
  </si>
  <si>
    <t xml:space="preserve">518006434</t>
  </si>
  <si>
    <t xml:space="preserve">518006479</t>
  </si>
  <si>
    <t xml:space="preserve">23210</t>
  </si>
  <si>
    <t xml:space="preserve">Stratos Title</t>
  </si>
  <si>
    <t xml:space="preserve">23246</t>
  </si>
  <si>
    <t xml:space="preserve">125437</t>
  </si>
  <si>
    <t xml:space="preserve">DHI Title</t>
  </si>
  <si>
    <t xml:space="preserve">2085</t>
  </si>
  <si>
    <t xml:space="preserve">Ranch at City Park Apts</t>
  </si>
  <si>
    <t xml:space="preserve">2599</t>
  </si>
  <si>
    <t xml:space="preserve">3203 Ladera Creek Ct</t>
  </si>
  <si>
    <t xml:space="preserve">779</t>
  </si>
  <si>
    <t xml:space="preserve">Full check for $2149.00</t>
  </si>
  <si>
    <t xml:space="preserve">132999</t>
  </si>
  <si>
    <t xml:space="preserve">575018277</t>
  </si>
  <si>
    <t xml:space="preserve">Texas American Title Company</t>
  </si>
  <si>
    <t xml:space="preserve">File # 2757524-06317</t>
  </si>
  <si>
    <t xml:space="preserve">33174</t>
  </si>
  <si>
    <t xml:space="preserve">c. Drake 7026 Chershire Park</t>
  </si>
  <si>
    <t xml:space="preserve">100014</t>
  </si>
  <si>
    <t xml:space="preserve">7709 Independence St</t>
  </si>
  <si>
    <t xml:space="preserve">6050</t>
  </si>
  <si>
    <t xml:space="preserve">StressFree Property Solutions</t>
  </si>
  <si>
    <t xml:space="preserve">140657</t>
  </si>
  <si>
    <t xml:space="preserve">Riverway Title</t>
  </si>
  <si>
    <t xml:space="preserve">File No 241599Z1-KI-KLD</t>
  </si>
  <si>
    <t xml:space="preserve">136236</t>
  </si>
  <si>
    <t xml:space="preserve">DHI Tlitle Agency</t>
  </si>
  <si>
    <t xml:space="preserve">5012</t>
  </si>
  <si>
    <t xml:space="preserve">Shortage Correction</t>
  </si>
  <si>
    <t xml:space="preserve">2565</t>
  </si>
  <si>
    <t xml:space="preserve">140</t>
  </si>
  <si>
    <t xml:space="preserve">11822 Rowan Agent: Flor Gonzales</t>
  </si>
  <si>
    <t xml:space="preserve">trn 12/6/24</t>
  </si>
  <si>
    <t xml:space="preserve">140502</t>
  </si>
  <si>
    <t xml:space="preserve">trn 2/7/2025</t>
  </si>
  <si>
    <t xml:space="preserve">13217 Dalvay Beach Drive</t>
  </si>
  <si>
    <t xml:space="preserve">7219531668</t>
  </si>
  <si>
    <t xml:space="preserve">17626</t>
  </si>
  <si>
    <t xml:space="preserve">1414 Antoine</t>
  </si>
  <si>
    <t xml:space="preserve">799900</t>
  </si>
  <si>
    <t xml:space="preserve">6850404661</t>
  </si>
  <si>
    <t xml:space="preserve">217000</t>
  </si>
  <si>
    <t xml:space="preserve">Olympus/Nelson Property Mgmt</t>
  </si>
  <si>
    <t xml:space="preserve">1010</t>
  </si>
  <si>
    <t xml:space="preserve">West Houston Property Management LLC</t>
  </si>
  <si>
    <t xml:space="preserve">2413 Anita St</t>
  </si>
  <si>
    <t xml:space="preserve">154666</t>
  </si>
  <si>
    <t xml:space="preserve">Inspired Title Services, LLC</t>
  </si>
  <si>
    <t xml:space="preserve">103233</t>
  </si>
  <si>
    <t xml:space="preserve">Skyline Title, LLC</t>
  </si>
  <si>
    <t xml:space="preserve">2120 El Paseo St Unit 2106 Houston TX 77054</t>
  </si>
  <si>
    <t xml:space="preserve">921264804</t>
  </si>
  <si>
    <t xml:space="preserve">Chase Check</t>
  </si>
  <si>
    <t xml:space="preserve">9435127468</t>
  </si>
  <si>
    <t xml:space="preserve">Chase Money Order - Wyatt Bingham</t>
  </si>
  <si>
    <t xml:space="preserve">10432 Hammerly</t>
  </si>
  <si>
    <t xml:space="preserve">674363</t>
  </si>
  <si>
    <t xml:space="preserve">Amegy Bank Cashier's check - John Snyder</t>
  </si>
  <si>
    <t xml:space="preserve">233686</t>
  </si>
  <si>
    <t xml:space="preserve">CarefreeTitle Agency</t>
  </si>
  <si>
    <t xml:space="preserve">2523 Paloverde Canyon Court</t>
  </si>
  <si>
    <t xml:space="preserve">Money Order</t>
  </si>
  <si>
    <t xml:space="preserve">Possibly 559 Bissonnet St</t>
  </si>
  <si>
    <t xml:space="preserve">22922</t>
  </si>
  <si>
    <t xml:space="preserve">Latoya M Johnston - Navy Federal credit Union Cashier's Check</t>
  </si>
  <si>
    <t xml:space="preserve">1509</t>
  </si>
  <si>
    <t xml:space="preserve">L2 Uptown</t>
  </si>
  <si>
    <t xml:space="preserve">10421</t>
  </si>
  <si>
    <t xml:space="preserve">Acrisure Title</t>
  </si>
  <si>
    <t xml:space="preserve">2712000749</t>
  </si>
  <si>
    <t xml:space="preserve">Remitted by Malik Dontal McGill</t>
  </si>
  <si>
    <t xml:space="preserve">44511</t>
  </si>
  <si>
    <t xml:space="preserve">6126 Larchwood St</t>
  </si>
  <si>
    <t xml:space="preserve">44512</t>
  </si>
  <si>
    <t xml:space="preserve">126415</t>
  </si>
  <si>
    <t xml:space="preserve">EXP Realty (2219 Rimland Dr)</t>
  </si>
  <si>
    <t xml:space="preserve">15119</t>
  </si>
  <si>
    <t xml:space="preserve">Penn Land Transfer - Broker fees</t>
  </si>
  <si>
    <t xml:space="preserve">15121</t>
  </si>
  <si>
    <t xml:space="preserve">Penn Land Transfer - E&amp;O</t>
  </si>
  <si>
    <t xml:space="preserve">Wire 7/12/24</t>
  </si>
  <si>
    <t xml:space="preserve">1233 W VENANGO</t>
  </si>
  <si>
    <t xml:space="preserve">2887</t>
  </si>
  <si>
    <t xml:space="preserve">1324 Locust St 213</t>
  </si>
  <si>
    <t xml:space="preserve">2900</t>
  </si>
  <si>
    <t xml:space="preserve">5437 Baltimore Ave 1</t>
  </si>
  <si>
    <t xml:space="preserve">518928999</t>
  </si>
  <si>
    <t xml:space="preserve">Citizens</t>
  </si>
  <si>
    <t xml:space="preserve">417459</t>
  </si>
  <si>
    <t xml:space="preserve">Loandepot.com LLC</t>
  </si>
  <si>
    <t xml:space="preserve">417053</t>
  </si>
  <si>
    <t xml:space="preserve">1331</t>
  </si>
  <si>
    <t xml:space="preserve">241</t>
  </si>
  <si>
    <t xml:space="preserve">NJ Brokers License</t>
  </si>
  <si>
    <t xml:space="preserve">15907</t>
  </si>
  <si>
    <t xml:space="preserve">PA Land Settlement Services</t>
  </si>
  <si>
    <t xml:space="preserve">15908</t>
  </si>
  <si>
    <t xml:space="preserve">15910</t>
  </si>
  <si>
    <t xml:space="preserve">wire</t>
  </si>
  <si>
    <t xml:space="preserve">13836</t>
  </si>
  <si>
    <t xml:space="preserve">9 SUMMIT AVE</t>
  </si>
  <si>
    <t xml:space="preserve">13835</t>
  </si>
  <si>
    <t xml:space="preserve">conveyance</t>
  </si>
  <si>
    <t xml:space="preserve">5282446</t>
  </si>
  <si>
    <t xml:space="preserve">Dominique Hill</t>
  </si>
  <si>
    <t xml:space="preserve">169</t>
  </si>
  <si>
    <t xml:space="preserve">E&amp;O</t>
  </si>
  <si>
    <t xml:space="preserve">168</t>
  </si>
  <si>
    <t xml:space="preserve">Convey</t>
  </si>
  <si>
    <t xml:space="preserve">701611</t>
  </si>
  <si>
    <t xml:space="preserve">N&amp;J Abstract (651 Germantown Pike)</t>
  </si>
  <si>
    <t xml:space="preserve">2113251</t>
  </si>
  <si>
    <t xml:space="preserve">16130202600</t>
  </si>
  <si>
    <t xml:space="preserve">519627385</t>
  </si>
  <si>
    <t xml:space="preserve">519627385-8</t>
  </si>
  <si>
    <t xml:space="preserve">2721 NEWELL DR Love Beasley</t>
  </si>
  <si>
    <t xml:space="preserve">6537</t>
  </si>
  <si>
    <t xml:space="preserve">506 Lincoln Avenue (found searching Pending Paperless)</t>
  </si>
  <si>
    <t xml:space="preserve">162</t>
  </si>
  <si>
    <t xml:space="preserve">47111</t>
  </si>
  <si>
    <t xml:space="preserve">"commissions"</t>
  </si>
  <si>
    <t xml:space="preserve">Wire</t>
  </si>
  <si>
    <t xml:space="preserve">27 S Woodland Ave</t>
  </si>
  <si>
    <t xml:space="preserve">2393</t>
  </si>
  <si>
    <t xml:space="preserve">ach</t>
  </si>
  <si>
    <t xml:space="preserve">125399</t>
  </si>
  <si>
    <t xml:space="preserve">Cadence 0264</t>
  </si>
  <si>
    <t xml:space="preserve">Regions 6744</t>
  </si>
  <si>
    <t xml:space="preserve">unidentified deposit</t>
  </si>
  <si>
    <t xml:space="preserve">Current-month unbooked deposits ('Deposited checks' block, no 'x' in Sage column) - all September/October 2026</t>
  </si>
  <si>
    <t xml:space="preserve">Listed only so the Summary ties to the cash-requirements workbook. These are in the normal matching cycle and are not an unclaimed-property concern today.</t>
  </si>
  <si>
    <t xml:space="preserve">6423804118</t>
  </si>
  <si>
    <t xml:space="preserve">934707304</t>
  </si>
  <si>
    <t xml:space="preserve">934659478</t>
  </si>
  <si>
    <t xml:space="preserve">8510735044</t>
  </si>
  <si>
    <t xml:space="preserve">2263</t>
  </si>
  <si>
    <t xml:space="preserve">7255</t>
  </si>
  <si>
    <t xml:space="preserve">1321</t>
  </si>
  <si>
    <t xml:space="preserve">8737</t>
  </si>
  <si>
    <t xml:space="preserve">35245</t>
  </si>
  <si>
    <t xml:space="preserve">37957</t>
  </si>
  <si>
    <t xml:space="preserve">1007121877</t>
  </si>
  <si>
    <t xml:space="preserve">1067</t>
  </si>
  <si>
    <t xml:space="preserve">2463</t>
  </si>
  <si>
    <t xml:space="preserve">936318872</t>
  </si>
  <si>
    <t xml:space="preserve">1007121868</t>
  </si>
  <si>
    <t xml:space="preserve">CapOne</t>
  </si>
  <si>
    <t xml:space="preserve">187876</t>
  </si>
  <si>
    <t xml:space="preserve">1573</t>
  </si>
  <si>
    <t xml:space="preserve">Chase</t>
  </si>
  <si>
    <t xml:space="preserve">2562</t>
  </si>
  <si>
    <t xml:space="preserve">237769268</t>
  </si>
  <si>
    <t xml:space="preserve">6043577</t>
  </si>
  <si>
    <t xml:space="preserve">4227</t>
  </si>
  <si>
    <t xml:space="preserve">1048</t>
  </si>
  <si>
    <t xml:space="preserve">5041036114</t>
  </si>
  <si>
    <t xml:space="preserve">48438</t>
  </si>
  <si>
    <t xml:space="preserve">550058834</t>
  </si>
  <si>
    <t xml:space="preserve">664</t>
  </si>
  <si>
    <t xml:space="preserve">860570</t>
  </si>
  <si>
    <t xml:space="preserve">7227004805</t>
  </si>
  <si>
    <t xml:space="preserve">52556</t>
  </si>
  <si>
    <t xml:space="preserve">5386309</t>
  </si>
  <si>
    <t xml:space="preserve">3355</t>
  </si>
  <si>
    <t xml:space="preserve">5710</t>
  </si>
  <si>
    <t xml:space="preserve">10580</t>
  </si>
  <si>
    <t xml:space="preserve">10583</t>
  </si>
  <si>
    <t xml:space="preserve">723502845</t>
  </si>
  <si>
    <t xml:space="preserve">1942</t>
  </si>
  <si>
    <t xml:space="preserve">2605153993</t>
  </si>
  <si>
    <t xml:space="preserve">180</t>
  </si>
  <si>
    <t xml:space="preserve">242130</t>
  </si>
  <si>
    <t xml:space="preserve">695000866</t>
  </si>
  <si>
    <t xml:space="preserve">95692</t>
  </si>
  <si>
    <t xml:space="preserve">5041036099</t>
  </si>
  <si>
    <t xml:space="preserve">179</t>
  </si>
  <si>
    <t xml:space="preserve">Regions</t>
  </si>
  <si>
    <t xml:space="preserve">What is missing, and what to do next</t>
  </si>
  <si>
    <t xml:space="preserve">#</t>
  </si>
  <si>
    <t xml:space="preserve">Item</t>
  </si>
  <si>
    <t xml:space="preserve">Why it matters</t>
  </si>
  <si>
    <t xml:space="preserve">Who / where</t>
  </si>
  <si>
    <t xml:space="preserve">DATA GAP: the fee vs. agent split of every check is unknown</t>
  </si>
  <si>
    <t xml:space="preserve">The source workbook has E&amp;O / FEE / Commission columns but they are empty for all 181 items. Per the user, fee checks are typically $644, $1,044, $69 or other small amounts, so items at those amounts are presumed company revenue and items at or under the small-amount threshold are treated as likely fees. Larger checks likely include an agent's commission split, but how much of each is the agent's is still unknown; only that share (plus anything owed back to a payer) can ever be unclaimed property. Until the split is known, every dollar figure on the Summary is an upper bound, not an amount to remit.</t>
  </si>
  <si>
    <t xml:space="preserve">Match each check to its Paperless Pipeline transaction; fill Detail cols U-W.</t>
  </si>
  <si>
    <t xml:space="preserve">DATA GAP: owner identity and last-known address</t>
  </si>
  <si>
    <t xml:space="preserve">The first priority rule sends property to the state of the owner's last-known address. User confirmed that for many older checks the agent is not known. Where the agent can be identified, record the name and state in Detail cols T-U. Where it cannot, the item falls to the second priority rule (state of formation of the LLC).</t>
  </si>
  <si>
    <t xml:space="preserve">Agent master file / Paperless Pipeline; fill Detail cols T-U.</t>
  </si>
  <si>
    <t xml:space="preserve">RESOLVED, with a twist: state of formation</t>
  </si>
  <si>
    <t xml:space="preserve">Entity Management Database (10/6/2026): URE Dallas, URE Houston, Quick Close Properties/TUR, URE Chicago and URE Philadelphia are all Texas LLCs; URE Chicago and URE Philadelphia are merely registered as foreign LLCs in Illinois and Pennsylvania. Gallery (RaySon Partners) is Florida; Leading Edge Realty is Alabama. Consequence: every unknown-agent item at Chicago and Philly is reportable to TEXAS, under Texas's 3-year general period for contractor commissions, not to Illinois (1 year) or Pennsylvania (2 years). Only items where the company's records show an agent address in IL or PA go to those states. The workbook now defaults each entity to its formation state and switches an item to the owner's state once Detail col U is filled in.</t>
  </si>
  <si>
    <t xml:space="preserve">Done; counsel to confirm the priority-rule application.</t>
  </si>
  <si>
    <t xml:space="preserve">PRACTICAL EFFECT: one Texas filing could cover most of it</t>
  </si>
  <si>
    <t xml:space="preserve">With Texas as the default state for five of the seven entities, a single Texas voluntary disclosure (one per holder entity, or coordinated) would address the bulk of the aged population. Pennsylvania and Illinois filings would be limited to items with known PA/IL agent addresses.</t>
  </si>
  <si>
    <t xml:space="preserve">Counsel / Comptroller.</t>
  </si>
  <si>
    <t xml:space="preserve">RESOLVED: office-to-state mapping</t>
  </si>
  <si>
    <t xml:space="preserve">User confirmed 10/6/2026: Dallas, Houston, TUR = Texas; Chicago = Illinois; Philly = Pennsylvania; Leading Edge = Alabama; Gallery = Florida. Office state is shown on Summary col AB; it is NOT the governing state for unknown-owner items (see the formation-state row).</t>
  </si>
  <si>
    <t xml:space="preserve">Done.</t>
  </si>
  <si>
    <t xml:space="preserve">CONFIRM: payable date vs. deposit date</t>
  </si>
  <si>
    <t xml:space="preserve">Dormancy runs from when the amount became payable to the owner, not from when the check was deposited. Deposit date is used as a proxy throughout. If agents are paid on closing, the closing date is the better trigger and could be earlier.</t>
  </si>
  <si>
    <t xml:space="preserve">Paperless Pipeline closing dates.</t>
  </si>
  <si>
    <t xml:space="preserve">RESOLVED: agents are independent contractors</t>
  </si>
  <si>
    <t xml:space="preserve">User confirmed 10/6/2026. Verified 10/6/2026 from the statute text: Texas' 1-year rule applies to 'wages' as defined in Labor Code 61.001, which excludes independent contractors, and the Comptroller's property-code table puts commissions (MS02) at 3 years, so the 3-year general rule is the Texas test. Illinois, Pennsylvania and Alabama each reach 'other compensation for personal services', so their shorter periods apply. Florida's wage rule is not shown to reach contractors, so 5 years is likely. Counsel should confirm each.</t>
  </si>
  <si>
    <t xml:space="preserve">Confirm with counsel.</t>
  </si>
  <si>
    <t xml:space="preserve">RESOLVED: no prior write-offs</t>
  </si>
  <si>
    <t xml:space="preserve">User confirmed nothing has been done with the unapplied deposits so far, so the population in this workbook is the full population and there is no prior 'private escheat' to unwind.</t>
  </si>
  <si>
    <t xml:space="preserve">ICA CLAUSES THAT REDUCE WHAT IS OWED TO AGENTS - legal question</t>
  </si>
  <si>
    <t xml:space="preserve">Every ICA lets the Broker hold or apply commissions against amounts the agent owes (dues, fees, E&amp;O deductibles, indemnity) and conditions post-termination payouts on dues being paid in full. The Philly ICA goes further: an incomplete file 30 days past closing is paid 50/50 and 60 days past closing is 'forfeited'; a license not reactivated within 30 days means 'brokerage will keep 100% of commission'. TUR's agreement forfeits accrued commissions if the agent collects in their own name or breaches Section 5. A documented offset reduces the agent's share dollar for dollar. A contractual forfeiture is less certain. Verified 10/6/2026: Texas (Prop. Code 74.308), Illinois (765 ILCS 1026/15-610(a)), Florida (717.129(1)) and Alabama (35-12-88(a)) each say that the expiration of a period specified by CONTRACT does not prevent property from being presumed abandoned, and Texas 74.309 separately bars taking funds into income by private agreement to circumvent the unclaimed property process. Pennsylvania's 1301.16 mentions only statute and court order, not contract, and has no private-escheat section, so the Philly clause is a contract-law question there; but most Philly items default to Texas, where 74.308-74.309 apply. DECISION 10/6/2026: the company does not rely on the forfeiture clauses against an escheat claim. An item past dormancy is paid or reported at the agent's share regardless of the Philly 60-day / license clauses or the TUR breach clauses. Documented offsets still reduce the agent's share dollar for dollar. See the ICA Terms tab.</t>
  </si>
  <si>
    <t xml:space="preserve">Counsel; Accounting to document per item.</t>
  </si>
  <si>
    <t xml:space="preserve">WHEN THE AGENT'S SHARE BECOMES PAYABLE (dormancy trigger)</t>
  </si>
  <si>
    <t xml:space="preserve">Houston's TXR-2301 form is explicit: the associate's fee is payable when Broker receives Broker's fees (para. 16.C), so the deposit date is the trigger for Houston. Dallas, Chicago and Philly ICAs pay 'promptly after receipt and processing' but 'provided that Broker has received a complete File'. A condition that depends on the agent or the broker completing paperwork probably does not defer dormancy under anti-limitation provisions, but it is an argument counsel may want to assess. TUR agents are normally paid by the title company at closing; TUR's deposited checks are usually the broker's portion, lease or new-home commissions, so TUR's larger items need the Disbursement Authorization form to find the agent share.</t>
  </si>
  <si>
    <t xml:space="preserve">Counsel; Accounting.</t>
  </si>
  <si>
    <t xml:space="preserve">DATA: the split exists on the file</t>
  </si>
  <si>
    <t xml:space="preserve">TUR's Disbursement Authorization form records TUR / Agent / Mentor amounts per transaction. Dallas, Chicago and Philly fees are on the Closing Disclosure. Pull these for each larger item to fill Detail cols V-X; that converts the upper-bound figures into the real reportable amount.</t>
  </si>
  <si>
    <t xml:space="preserve">Accounting / Paperless Pipeline.</t>
  </si>
  <si>
    <t xml:space="preserve">RESOLVED: fee schedules for every office</t>
  </si>
  <si>
    <t xml:space="preserve">The ICA Fee Structure Cheat Sheet (current) and JV ICA Transaction Fee Summary (older $495/$895 schedule) supplied 10/6/2026 cover Chicago, Dallas/Frisco, Houston/TUR, Philly, DC, TUR legacy and Leading Edge. All amounts are in Summary rows 4-7.</t>
  </si>
  <si>
    <t xml:space="preserve">NOTE: Houston items at $495</t>
  </si>
  <si>
    <t xml:space="preserve">Two Houston items at exactly $495 (10/9/2024 Fidelity National Title 'Commissions'; 7/21/2026 Patten Title) are classified as fees because $495 was the sale transaction fee under the older schedule. If Houston had moved to $595 by those dates, treat them as commission instead.</t>
  </si>
  <si>
    <t xml:space="preserve">Accounting.</t>
  </si>
  <si>
    <t xml:space="preserve">ACTION: work the oldest items first</t>
  </si>
  <si>
    <t xml:space="preserve">Houston has four items from 2022 and Dallas/TUR/Philly have 2023 items. Under the Texas 3-year test, every Texas item deposited before 3/1/2023 would already have been due on the July 1, 2026 report if it was owed to someone else; the Detail tab's 'Dormant date - LONG' column identifies them.</t>
  </si>
  <si>
    <t xml:space="preserve">ACTION: run due-diligence letters before any filing</t>
  </si>
  <si>
    <t xml:space="preserve">Every state in scope requires a written notice to the owner before remittance (verified 10/6/2026 - TX: more than $250, at least 60 days before delivery, mail or e-mail, Prop. Code 74.1011; PA: $50 or more, 60-120 days before April 15, 72 P.S. 1301.10a; IL: $50 or more, 60 days to one year before filing, 765 ILCS 1026/15-501; FL: $50 or more, 60-120 days before filing with the statutory heading, 717.117(6)-(7); AL: $50 or more, at least 60 days before filing, 35-12-76(d)). A response from the owner stops the clock and lets you pay them directly instead of the state.</t>
  </si>
  <si>
    <t xml:space="preserve">Accounting; template letters.</t>
  </si>
  <si>
    <t xml:space="preserve">ACTION: consider a Voluntary Disclosure Agreement for Texas</t>
  </si>
  <si>
    <t xml:space="preserve">Three Texas entities hold about 85% of the aged balance. Texas waives penalty and interest under Prop. Code 74.707; the request goes to UP.VDA.requests@cpa.texas.gov with the company name, FEIN, contact, estimated remittance and any audit-contact date, and the look-back is 10 years (Pub. 96-576). Pennsylvania, Illinois, Florida and Alabama each run a VDA program with penalty and interest waived (State Rules col K; Florida's is open only to holders that have never filed). Verified 10/6/2026.</t>
  </si>
  <si>
    <t xml:space="preserve">ACTION: items that are not the company's money</t>
  </si>
  <si>
    <t xml:space="preserve">Memo-flagged items (e.g. 'not for this address', 'Not in PP', 'duplicate?', 'Dallas transaction' deposited in Houston) are owed back to the payer, not to an agent. Return them to the payer now; a refund resolves the item and removes it from the escheat population.</t>
  </si>
  <si>
    <t xml:space="preserve">ACTION: legal hold item</t>
  </si>
  <si>
    <t xml:space="preserve">Houston row 27 ($1,500, 7/18/2023, memo: on hold per law enforcement). Keep segregated; document the hold; do not escheat or release without counsel.</t>
  </si>
  <si>
    <t xml:space="preserve">Counsel.</t>
  </si>
  <si>
    <t xml:space="preserve">DECISION: revenue timing for fee checks</t>
  </si>
  <si>
    <t xml:space="preserve">Fee checks and confirmed small items are company revenue and are not unclaimed property, but they are NOT moved to revenue en masse. They stay in the accrued balance and are recognized when matched in the ordinary course and through the year-end revenue true-up, which already captures them. At a semi-annual threshold review only an item that is being written off at that time is booked to revenue (decision 10/6/2026).</t>
  </si>
  <si>
    <t xml:space="preserve">Director of Financial Reporting and Analysis.</t>
  </si>
  <si>
    <t xml:space="preserve">DECISION: process owner</t>
  </si>
  <si>
    <t xml:space="preserve">The semi-annual threshold review and the annual state filings are owned by the Director of Financial Reporting and Analysis, with counsel; the CFO approves any VDA and any retention under an offset (decision 10/6/2026).</t>
  </si>
  <si>
    <t xml:space="preserve">AFTER REMITTANCE: the agent later submits the file</t>
  </si>
  <si>
    <t xml:space="preserve">Good-faith delivery to the state relieves the holder of liability for the property in every state in scope (Tex. Prop. Code 74.304(b)-(c); 72 P.S. 1301.14; Fla. Stat. 717.1201(1); Ala. Code 35-12-79(b); 765 ILCS 1026/15-604). The transaction is still processed and the agent is still paid: either the agent claims the money from the state, or the company pays the agent and files for reimbursement from the state (Texas 74.502: the Comptroller reimburses a valid claim paid by the holder; Pennsylvania 1301.14: reimbursement with interest; Florida 717.1201(3); Alabama 35-12-79(c); Illinois 15-605). The company's fee on that transaction is revenue as usual. Keep the state report reference on the Paperless Pipeline transaction so the reimbursement claim can be filed.</t>
  </si>
  <si>
    <t xml:space="preserve">Director of Financial Reporting and Analysis / Accounting.</t>
  </si>
  <si>
    <t xml:space="preserve">DECISION: review cadence</t>
  </si>
  <si>
    <t xml:space="preserve">The threshold review runs twice a year, in early December (as of November 30, projected to the December 31 cutoffs for PA, IL and FL and the March 1 Texas cutoff) and early June (as of May 31, projected to the June 30 Alabama cutoff and the July 1 Texas remittance). The December review must finish before Pennsylvania's letter window closes on February 14; Texas letters go out by May 2 (decision 10/6/2026).</t>
  </si>
  <si>
    <t xml:space="preserve">IF A CUTOFF IS MISSED</t>
  </si>
  <si>
    <t xml:space="preserve">The item becomes past-due property and goes on the next report with its original dormancy date; nothing is forfeited. Verified consequences: Texas 10% interest a year from the original due date (74.705) plus a 5% penalty and a further 5% if more than 30 days late (74.706), waivable for a good-faith effort (74.707); Pennsylvania 12% interest (1301.24(b)) plus up to $1,000 a day (1301.24(c)), penalties waived for a good-faith, non-negligent holder (1301.25(c)); Florida $10 a day up to $500 for a late report (717.117(5)) and, if wilful, $500 a day up to $5,000 plus 25% of the unreported value (717.134), waived for good faith; Alabama $100 per business day up to $5,000, $500 a day up to $25,000 if wilful, waived for good faith (35-12-92); Illinois penalties and interest under the Act (not read in detail), forgone under the VDA. Enforcement windows run from a FILED report (TX 7 years, PA 15, IL and AL 10, FL 10 from the duty) and are tolled where nothing was reported, so unreported is worse than late.</t>
  </si>
  <si>
    <t xml:space="preserve">Director of Financial Reporting and Analysis / counsel.</t>
  </si>
  <si>
    <t xml:space="preserve">VERIFIED 10/6/2026 - and what is still open</t>
  </si>
  <si>
    <t xml:space="preserve">Every rule on the State Rules tab for TX, IL, PA, FL and AL (periods, section numbers, report cutoff and due date, due-diligence threshold and timing, VDA terms, anti-limitation provision) was read from the statute text and the state treasury pages on 10/6/2026; the URLs are in the Sources column. Corrections made: IL business holders file by May 1 for the calendar year (not November 1 / June 30); FL's operative long period for a Florida holder with an unknown owner address is 3 years under 717.1035 (not 5); the PA commissions rule is 1301.10(2) (not 1301.5); PA, FL and TX VDA descriptions replaced with the treasury pages' own terms. POSITIONS ADOPTED 10/6/2026: Texas applies the 3-year rule (no court decision or Comptroller ruling specifically on broker-to-agent commissions was found; the position rests on the statutory definitions and the Comptroller's MS02 table); the Philly and TUR forfeiture clauses are not relied on against an escheat claim. STILL OPEN for counsel's confirmation: (1) deposit date is a proxy for the payable date; (2) Missouri and DC not researched (no holder formed there, DC balance $0); (3) Texas VDA eligibility for an entity that has filed before is not stated on the Comptroller pages - ask when requesting.</t>
  </si>
  <si>
    <t xml:space="preserve">Counsel / unclaimed-property advisor.</t>
  </si>
  <si>
    <t xml:space="preserve">Independent Contractor Agreement terms relevant to accrued commissions and unclaimed property</t>
  </si>
  <si>
    <t xml:space="preserve">Five agreements provided 10/6/2026. Quotations are from the documents; 'relevance' is analysis, not legal advice. Dallas and Chicago PDFs are scans and were read visually; the other three were text-extracted.</t>
  </si>
  <si>
    <t xml:space="preserve">Legal entity named in the document</t>
  </si>
  <si>
    <t xml:space="preserve">Document</t>
  </si>
  <si>
    <t xml:space="preserve">Clause / location</t>
  </si>
  <si>
    <t xml:space="preserve">What it says</t>
  </si>
  <si>
    <t xml:space="preserve">Relevance to accrued commissions / unclaimed property</t>
  </si>
  <si>
    <t xml:space="preserve">URE Dallas LLC dba United Real Estate (Nick Bristow, General Manager, Broker)</t>
  </si>
  <si>
    <t xml:space="preserve">Independent Contractor Agreement for Dallas/Frisco, DocuSign CBD8CDF3..., revised 4/18/2023</t>
  </si>
  <si>
    <t xml:space="preserve">Commissions and Fees (p.2)</t>
  </si>
  <si>
    <t xml:space="preserve">Commissions, compensation, bonuses and fees are paid to Broker. Contractor Commissions 'will be promptly paid to by Broker after receipt &amp; processing of such Commissions, less any amounts owed to Broker, &amp; provided that Broker has received a complete File.'</t>
  </si>
  <si>
    <t xml:space="preserve">Agent's share arises on receipt, net of amounts the agent owes, conditioned on a complete file. Supports using deposit date as the dormancy trigger; the complete-file condition is a counsel question (see Gaps).</t>
  </si>
  <si>
    <t xml:space="preserve">same</t>
  </si>
  <si>
    <t xml:space="preserve">Broker Fees (p.3)</t>
  </si>
  <si>
    <t xml:space="preserve">$595 transaction fee per side for residential sales up to $649,999; $995 at $650,000 and above; commercial 10%; other events 12% (min $75, max $995 per side); Broker-generated lead fee 40%; E&amp;O Fee $49 per transaction; 'All sales related fees due Broker must be included on the transaction's Closing Disclosure or HUD-1 Statement &amp; paid through the close of escrow.' Monthly $65 + $4 convenience fee by credit card. Annual cap: after 24 transactions, $50 fee + E&amp;O per transaction.</t>
  </si>
  <si>
    <t xml:space="preserve">Confirms $644 = $595 + $49 and $1,044 = $995 + $49 arrive from title as company fee revenue, and $69 = monthly dues. These checks are the company's money, not unclaimed property.</t>
  </si>
  <si>
    <t xml:space="preserve">Errors &amp; Omissions Insurance (p.4)</t>
  </si>
  <si>
    <t xml:space="preserve">Broker may withhold from Contractor's commissions payable an amount adequate to satisfy uncovered claims, placed in a Claims and Disputes Retention Account pending settlement.</t>
  </si>
  <si>
    <t xml:space="preserve">A documented withholding for a claim is a legitimate reduction of the agent's share; keep the claim file.</t>
  </si>
  <si>
    <t xml:space="preserve">Protection of Contractor's Listings and Contracts; Transaction Defined; Termination (p.10)</t>
  </si>
  <si>
    <t xml:space="preserve">Commissions earned and paid on sales contracts completed before termination 'will be disbursed to Contractor in compliance with the commission plan in effect... conditioned on Contractor having any and all dues, fees and expenses owing to Broker paid in full.' 'Broker has the right to hold and/or apply any commissions owing to Contractor, as may be necessary to pay for or secure any obligations of Contractor.' Transactions not closed before termination are paid at a 70/30 split.</t>
  </si>
  <si>
    <t xml:space="preserve">Offset rights: amounts an agent owes the company reduce the agent's reportable share dollar for dollar if documented. No clause forfeits earned commissions outright.</t>
  </si>
  <si>
    <t xml:space="preserve">Contractor Information (p.10); Agent Information sheet (p.1); Controlling Law (p.11)</t>
  </si>
  <si>
    <t xml:space="preserve">Contractor must immediately update mailing address, phone and email. The Agent Information sheet collects home address, state and zip. Controlling law: Texas.</t>
  </si>
  <si>
    <t xml:space="preserve">The company should hold a last-known address for every identified agent, which puts those items under the first priority rule (agent's address state, usually Texas).</t>
  </si>
  <si>
    <t xml:space="preserve">URE Chicago LLC dba United Real Estate - Chicago (Richard Williams, Designated Managing Broker)</t>
  </si>
  <si>
    <t xml:space="preserve">Independent Contractor Agreement, DocuSign A769C223...</t>
  </si>
  <si>
    <t xml:space="preserve">Commissions and Fees; Broker Fees (pp.2-3)</t>
  </si>
  <si>
    <t xml:space="preserve">Same commission language as Dallas (promptly paid after receipt and processing, less amounts owed, provided Broker has a complete File). Fees: $595 per side up to $650,000; $995 at $650,001+; commercial greater of 12% or $595; other events 12% (min $75, max $995); lead fee 40%; E&amp;O $49 per side; monthly $69; annual cap after 24 transactions.</t>
  </si>
  <si>
    <t xml:space="preserve">Same fee structure as Dallas: $644 / $1,044 / $69 are company revenue.</t>
  </si>
  <si>
    <t xml:space="preserve">E&amp;O; Protection of Listings; Transaction Defined; Termination; Controlling Law (pp.4, 9-11)</t>
  </si>
  <si>
    <t xml:space="preserve">Same E&amp;O withholding, dues-paid-in-full condition and hold/apply rights as Dallas. No 70/30 post-termination line. Contractor must update mailing address. Controlling law: Texas.</t>
  </si>
  <si>
    <t xml:space="preserve">Offset rights as Dallas. The Texas choice-of-law clause does not change which state takes custody of unclaimed property; the priority rules do.</t>
  </si>
  <si>
    <t xml:space="preserve">URE Houston LLC d/b/a United Real Estate (Carol Drake, Managing Broker)</t>
  </si>
  <si>
    <t xml:space="preserve">Texas REALTORS form TXR-2301 (07-08-22), DocuSign 3DE311AB...</t>
  </si>
  <si>
    <t xml:space="preserve">Para. 12.B Receipt of Brokerage Fees</t>
  </si>
  <si>
    <t xml:space="preserve">Associate must deliver any compensation for brokerage services received from any client, escrow agent, title company or other person to Broker for disbursement in accordance with the agreement.</t>
  </si>
  <si>
    <t xml:space="preserve">All commission checks flow through the Broker, which is why they land in the deposited-checks block.</t>
  </si>
  <si>
    <t xml:space="preserve">Para. 16.A and 16.C Associate's Fees</t>
  </si>
  <si>
    <t xml:space="preserve">'All fees and compensation that Broker or Associate earn for providing brokerage services... are payable to and belong to Broker.' 'Associate's fees under this agreement are earned at the time Broker's fees are earned... Associate's fees under this agreement are payable when Broker receives Broker's fees under the applicable agreements for brokerage services, unless the fees are subject to arbitration, litigation, or a court order.'</t>
  </si>
  <si>
    <t xml:space="preserve">Clearest trigger in the five documents: the agent's share is PAYABLE WHEN THE BROKER RECEIVES THE CHECK. For Houston the deposit date is the dormancy start date with little room for argument.</t>
  </si>
  <si>
    <t xml:space="preserve">Para. 16.D Disputes; Para. 17.B Special Expenses</t>
  </si>
  <si>
    <t xml:space="preserve">Disputed fees between associates are held in trust pending resolution. Special expenses: $65 monthly fee by auto-debit; each transaction carries a $49 E&amp;O charge plus a transaction fee per the attached fee schedule, deducted from gross fees before calculating Associate's fees.</t>
  </si>
  <si>
    <t xml:space="preserve">Fee schedule itself was not in the copy provided. The $49 E&amp;O and the $644 items imply the same $595 + $49 pattern as Dallas; confirm.</t>
  </si>
  <si>
    <t xml:space="preserve">Para. 21 Termination; Para. 24.E Controlling Law; signature block</t>
  </si>
  <si>
    <t xml:space="preserve">Either party may terminate on written notice. Any fee unpaid at termination is paid per the fee schedule. No forfeiture clause. Controlling law: Texas. Signature block collects the associate's home address.</t>
  </si>
  <si>
    <t xml:space="preserve">Termination does not extinguish the agent's right to unpaid fees. Last-known address should be on file.</t>
  </si>
  <si>
    <t xml:space="preserve">Quick-Close Properties, LLC dba Texas United Realty (TREC license 599460)</t>
  </si>
  <si>
    <t xml:space="preserve">TUR Legacy Sign Up Docs v1 (TREC sponsorship form, Agent Agreement, Commission Policy, Policies, DA Checklist, Disbursement Authorization form)</t>
  </si>
  <si>
    <t xml:space="preserve">Policies item 11 Commission Payment</t>
  </si>
  <si>
    <t xml:space="preserve">'Licensee acknowledges he/she will be paid at closing and funding from the title company for all commissions earned except... 1) Lease commissions are paid through the broker directly to the licensee three business days after broker has received and deposited the commission check. 2) New Home commissions... three business days after received and deposited, broker will cut agent's check.'</t>
  </si>
  <si>
    <t xml:space="preserve">TUR agents are normally paid by title at closing, so checks TUR deposits are usually the broker's portion, a lease commission or a new-home commission. For lease and new-home items the agent's share is payable three business days after deposit, which fixes the dormancy trigger.</t>
  </si>
  <si>
    <t xml:space="preserve">Commission Policy of Texas United Realty</t>
  </si>
  <si>
    <t xml:space="preserve">Plan 1 New Agent Mentorship: 70% split. Plan 2 Agent Coaching: 85% split less transaction fee. Plan 3 Transaction Fee Plan: $150 (sale up to $10K commission), $250 (up to $20K), $350 (up to $30K), $450 (up to $40K), $60 residential lease. All plans $179 annual fee. Commercial 70/30 or 95/5.</t>
  </si>
  <si>
    <t xml:space="preserve">Explains TUR's recurring $150 / $250 / $60 deposits as fee checks and gives the split to apply to larger items once the plan on the DA form is known.</t>
  </si>
  <si>
    <t xml:space="preserve">Disbursement Authorization form</t>
  </si>
  <si>
    <t xml:space="preserve">Per-transaction form showing total commission and the amounts to Texas United Realty, Agent and Mentor, approved by Broker/Owner, with a request that title mail the HUD and broker's portion to TUR.</t>
  </si>
  <si>
    <t xml:space="preserve">The agent/company split for every TUR transaction is on this form. Pull it for each larger item to replace the upper-bound figures.</t>
  </si>
  <si>
    <t xml:space="preserve">Agent Agreement paras. 1.K, 3.B, 5.F, 8.C</t>
  </si>
  <si>
    <t xml:space="preserve">1.K: an agent who collects a fee in their own name 'will forfeit any accrued but uncollected commissions'. 3.B: agent assigns commissions to TUR to secure indemnification. 5.F: breach of Section 5 (confidentiality / non-solicitation) means the agent 'shall lose all rights to any further commissions'. 8.C: amounts owed at or after termination may be deducted from commissions due.</t>
  </si>
  <si>
    <t xml:space="preserve">Offset (8.C, 3.B) is a documented reduction. Forfeiture (1.K, 5.F) is a legal question: anti-limitation provisions in unclaimed property acts may override a contractual forfeiture. Do not rely on it without counsel and a documented breach.</t>
  </si>
  <si>
    <t xml:space="preserve">Policies item 6 Record Keeping</t>
  </si>
  <si>
    <t xml:space="preserve">All transaction documentation kept for four years from closing or termination of contract.</t>
  </si>
  <si>
    <t xml:space="preserve">Four years is shorter than unclaimed property record-retention expectations (commonly 10 years after a report) and audit look-backs. Preserve DA forms and HUDs for the aged items regardless.</t>
  </si>
  <si>
    <t xml:space="preserve">'United Real Estate' (no LLC name in the document); Pennsylvania Real Estate Commission licensee</t>
  </si>
  <si>
    <t xml:space="preserve">Independent Contractor Agreement, Updated 08.2023, 11 pages</t>
  </si>
  <si>
    <t xml:space="preserve">Para. 3 Commissions and Fees</t>
  </si>
  <si>
    <t xml:space="preserve">'100% of any and all such commissions will be promptly paid to Contractor by Broker after receipt and processing, less any amounts owing to Broker. Payment of any and all commissions is subject to Broker receiving a complete sales file no less than five (5) business days prior to closing.'</t>
  </si>
  <si>
    <t xml:space="preserve">Agent's share arises on receipt net of amounts owed; complete-file condition as Dallas.</t>
  </si>
  <si>
    <t xml:space="preserve">Para. 3 fee schedule</t>
  </si>
  <si>
    <t xml:space="preserve">$595 transaction fee per side for sales up to $799,999.99; $995 at $800,000+; 'charged to the Buyer or Seller and paid to Broker'; agent responsible if the buyer/seller does not pay. E&amp;O $49 per transaction; enhanced E&amp;O $110 on personal transactions. Leases 12% (min $125, or $595/$995 whichever is less) + $49. Referrals 10% (min $100) + $49. Commercial 10% + $49. Monthly $65 + $4 card fee, $25 late fee. Lead fee 25-50%; mentor fee 30% on first four transactions. 'All fees due Broker must be included on the transaction's HUD-1/ALTA/Closing Disclosure statement and paid through the close of escrow.'</t>
  </si>
  <si>
    <t xml:space="preserve">Confirms fee checks arrive from settlement. User adds $495 and $295 as Philly fee amounts (not in this 08.2023 schedule; presumably an earlier schedule).</t>
  </si>
  <si>
    <t xml:space="preserve">Para. 21 Protection of Listings; Para. 22 Transaction Defined; Para. 23 Termination</t>
  </si>
  <si>
    <t xml:space="preserve">Post-termination commissions disbursed per the plan in effect, 'conditioned on Contractor having any and all dues, fees and expenses owing to Broker paid in full.' Broker may 'hold and/or apply any commissions owing to Contractor' to secure obligations. On termination, executed contracts split 70/30. 'If the Contractor's license expires or goes inactive, anything that is currently under contract brokerage split will be fifty/fifty. Contractor will have 30 days to bring their license back to active status. If Contractor fails to bring license back to active status within the 30 days, brokerage will keep 100% of commission.'</t>
  </si>
  <si>
    <t xml:space="preserve">Offset rights as elsewhere, plus an express 100% retention clause for lapsed licenses. Whether Pennsylvania unclaimed property law honors a contractual retention against an escheat claim is for counsel.</t>
  </si>
  <si>
    <t xml:space="preserve">Para. 31 Fines and Penalties</t>
  </si>
  <si>
    <t xml:space="preserve">'3. Any incomplete file(s) 30 days past closing will be paid at a 50/50 split. 4. Any incomplete file(s) 60 days past closing will be forfeited and grounds for termination.'</t>
  </si>
  <si>
    <t xml:space="preserve">The most consequential clause for Philly's aged items: if a file was never completed, the ICA says the agent's share was forfeited at day 60 after closing. If counsel concludes Pennsylvania (or the agent's address state) honors this, those amounts are company revenue, not unclaimed property. Document the closing date and file status for each item before relying on it; anti-limitation provisions may override.</t>
  </si>
  <si>
    <t xml:space="preserve">Para. 26 Contractor Information; Para. 28 Controlling Law; Para. 30 Paperless Pipeline</t>
  </si>
  <si>
    <t xml:space="preserve">Contractor must update mailing address. Controlling law: Pennsylvania. All documents must be uploaded to Paperless Pipeline within 72 hours.</t>
  </si>
  <si>
    <t xml:space="preserve">Last-known address should be on file. Paperless Pipeline should show whether each aged file was ever completed.</t>
  </si>
  <si>
    <t xml:space="preserve">All</t>
  </si>
  <si>
    <t xml:space="preserve">n/a</t>
  </si>
  <si>
    <t xml:space="preserve">ICA Fee Structure Cheat Sheet (xlsx; the 'Fee Structure / ICA Breakdown' PDF is a scan of the same sheet)</t>
  </si>
  <si>
    <t xml:space="preserve">Current fee grid by office</t>
  </si>
  <si>
    <t xml:space="preserve">E&amp;O $49 all offices (Chicago/Dallas: except referral; Philly: except personal sale). Residential sale fee $595 / $995 per side with price breaks at $650,000 (Chicago, Dallas, Houston/TUR) or $800,000 (Philly, DC). Commercial 12% min $595 (Chicago), 10% (Dallas, Houston/TUR, Philly), 5% (DC). Residential lease and referral 12% with minimums of $75 (Chicago, Dallas, max $995), $100 (Houston/TUR lease), $125 (Philly, DC); Houston/TUR and Philly referrals 10%. Caps 24 residential or $14,280 ($12,000 Houston/TUR); fee after cap $50 Dallas, $0 elsewhere. Philly enhanced E&amp;O $110 on personal sales. Mentor 30%; Houston/TUR coaching 15%; broker leads 40% (Chicago, Dallas) or 25-50% (Philly). TUR legacy: 70% for 5 closings, 85% coaching, fee plan $150/$250/$350/$450 by commission, lease $100 or 10%, commercial 70/30 or 95/5. Leading Edge: E&amp;O $0 ($35 in holding company); sale fee by price band $100 / $395 / $695 / $995 / $1,295 / $1,595 / $1,895 / $2,195 / $2,495 / $2,795; lease 10%; outside referral 10%; inside referral $0/$35; commercial 10%; cap $12,000 ($13,200 commercial-only); fee after cap $150; late fee $50 per billing period.</t>
  </si>
  <si>
    <t xml:space="preserve">Source for the all-entities and office-specific fee lists in Summary rows 4-7. Leading Edge's three aged items ($395, $150, $100) are exact schedule amounts.</t>
  </si>
  <si>
    <t xml:space="preserve">JV ICA Transaction Fee Summary (docx)</t>
  </si>
  <si>
    <t xml:space="preserve">Older fee schedule</t>
  </si>
  <si>
    <t xml:space="preserve">Residential sale fee $495 / $895 (Philly break $800,000; Chicago $650,001; Houston $650,000; DC $800,001; Dallas $650,000). E&amp;O $49 (Houston originally $45, 'has been changed to $49'; DC $45). Philly leases/referrals lesser of 10% (min $100) or $495/$895. Chicago/Dallas other events 10% min $75 max $895; Houston max $495/$895; DC referral/lease 10% min $100 max $295 plus E&amp;O. Dallas after-cap fee $50. Philly termination: 70/30 on executed contracts; license lapse not cured in 30 days, Broker keeps 100%. Dallas: transactions not closed before termination paid 70/30.</t>
  </si>
  <si>
    <t xml:space="preserve">Explains $495 / $895 / $544 / $944 / $45 / $295 as historical fee amounts; the oldest aged items (2022-2024) likely fall under this schedule. Restates the Philly and Dallas termination terms.</t>
  </si>
  <si>
    <t xml:space="preserve">Method</t>
  </si>
  <si>
    <t xml:space="preserve">1. Source file: United_Cash_Requirements.xlsx as provided on 10/6/2026 (file name f519c0da-United_Cash_Requirements.xlsx).</t>
  </si>
  <si>
    <t xml:space="preserve">2. For each entity tab, the 'Previous Month's Accrued Commissions' block was read (Dallas M20:R143, Chicago R20:V190, Houston M20:R286, Philly S21:W133, DC R22:V194, TUR M21:R299, Leading Edge AA22:AE195 and AG22:AK195, Gallery M21:R299). Rows without an 'x' in the 'accounted for in Sage' column are the unbooked items that make up the accrued balance.</t>
  </si>
  <si>
    <t xml:space="preserve">3. Each entity's extracted unbooked total was tied to the tab's 'outstanding amount' cell (Dallas M18 = 59,991.62; Houston M18 = 76,889.50; Philly S19 = 29,708.78; TUR M19 = 55,528.45; Leading Edge AA20 = 250.00 and AG20 = 395.00; Gallery M19 = 4,001.11; Chicago R18 = 0; DC R20 = 0). All tie exactly.</t>
  </si>
  <si>
    <t xml:space="preserve">4. The current-month 'Deposited checks' blocks were read the same way and tie to each tab's A18/A19 (and the second-bank cells) and to the source Summary row 5.</t>
  </si>
  <si>
    <t xml:space="preserve">5. URE Corp carries no accrued commissions (A4 = -O58 where O58 is empty).</t>
  </si>
  <si>
    <t xml:space="preserve">6. Ages are computed from the deposit date to the as-of date. Dormant dates = deposit date + the state period in months (EDATE).</t>
  </si>
  <si>
    <t xml:space="preserve">7. Classification hints are heuristics on amount and memo text only; they are not conclusions.</t>
  </si>
  <si>
    <t xml:space="preserve">8. State rules were first drafted from web-search summaries on 10/6/2026 and then verified the same day against the statute text (statutes.capitol.texas.gov, ilga.gov, PA Treasury's reprint of 72 P.S. 1301.1 et seq., flsenate.gov, Alabama Treasury's reprint of Ala. Code 35-12-70 et seq.) and each state's holder-reporting pages. The State Rules tab 'Verification status' column records what was read and the Sources column the URLs.</t>
  </si>
  <si>
    <t xml:space="preserve">9. Three fee documents were also provided 10/6/2026 (ICA Fee Structure Cheat Sheet xlsx, a scanned PDF of the same sheet, and the JV ICA Transaction Fee Summary docx with the older $495/$895 schedule); their amounts are in Summary rows 4-7.</t>
  </si>
  <si>
    <t xml:space="preserve">10. Entity Management Database (xlsx) provided 10/6/2026 supplies each holder's legal name and domicile; the domicile is used as the default governing state under the second priority rule.</t>
  </si>
  <si>
    <t xml:space="preserve">11. Five independent contractor agreements were provided 10/6/2026 (Dallas/Frisco, Chicago, Houston TXR-2301, TUR legacy sign-up docs, Pennsylvania ICA). Fee amounts in Summary rows 4-6 come from the user and from those fee schedules; the ICA Terms tab cites each clause used.</t>
  </si>
  <si>
    <t xml:space="preserve">Unclaimed property rules by state - dormancy periods applied in this analysis</t>
  </si>
  <si>
    <t xml:space="preserve">Short period = the period for wages / compensation for personal services. Long period = the general catch-all period. Which one applies to independent-contractor agent commissions is a legal question that differs by state (see basis columns). Verification column records what was confirmed from the statute text and state treasury pages on 10/6/2026, including each state's anti-limitation provision; Sources lists the URLs actually read.</t>
  </si>
  <si>
    <t xml:space="preserve">State</t>
  </si>
  <si>
    <t xml:space="preserve">Name</t>
  </si>
  <si>
    <t xml:space="preserve">Short period basis</t>
  </si>
  <si>
    <t xml:space="preserve">Long period basis</t>
  </si>
  <si>
    <t xml:space="preserve">Report due</t>
  </si>
  <si>
    <t xml:space="preserve">Report cutoff ('as of')</t>
  </si>
  <si>
    <t xml:space="preserve">Next cutoff date</t>
  </si>
  <si>
    <t xml:space="preserve">Due diligence to owner</t>
  </si>
  <si>
    <t xml:space="preserve">Voluntary disclosure / penalties</t>
  </si>
  <si>
    <t xml:space="preserve">Verification status</t>
  </si>
  <si>
    <t xml:space="preserve">Adopted test for independent-contractor commissions (SHORT/LONG)</t>
  </si>
  <si>
    <t xml:space="preserve">Why</t>
  </si>
  <si>
    <t xml:space="preserve">Sources</t>
  </si>
  <si>
    <t xml:space="preserve">Texas</t>
  </si>
  <si>
    <t xml:space="preserve">Unclaimed wages - Tex. Prop. Code 72.1015: 'wages' has the meaning assigned by Labor Code 61.001 and is presumed abandoned after more than 1 year. Labor Code 61.001(7) defines wages as compensation owed by an EMPLOYER for labor or services rendered by an EMPLOYEE (whether computed on a time, task, piece, commission or other basis), and 61.001(3)(B) says 'employee' does not include an independent contractor. Independent-contractor agent commissions are therefore outside 72.1015. The Comptroller's reporting manual (Pub. 96-478, revised March 2026) lists property code MS01 'Wages, payroll or salary' at 1 year and MS02 'Commissions' at 3 years.</t>
  </si>
  <si>
    <t xml:space="preserve">General rule - Tex. Prop. Code 72.101(a): personal property is presumed abandoned if, for longer than 3 years, the owner's location is unknown to the holder and no claim has been asserted or act of ownership exercised. Comptroller property code MS02 'Commissions' = 3 years (Pub. 96-478).</t>
  </si>
  <si>
    <t xml:space="preserve">July 1 (74.101(a): a holder who on March 1 holds reportable property files on or before the following July 1; 74.301(a): the property is delivered with the report)</t>
  </si>
  <si>
    <t xml:space="preserve">March 1 (74.101). Comptroller deadline table for report year 2026: 3-year property with last contact 3/02/2022 - 3/01/2023 is due 7/1/2026; 1-year property with last contact 3/02/2024 - 3/01/2025.</t>
  </si>
  <si>
    <t xml:space="preserve">74.1011(a): a holder who on March 1 holds property valued at more than $250 must, not later than the 60th day before delivery to the Comptroller, send written notice by mail to the owner's last known address or by e-mail; not required where the holder has no physical or e-mail address on record (74.1011(b)(2)); postage may be charged against the property (74.1011(c)).</t>
  </si>
  <si>
    <t xml:space="preserve">74.707(a)-(b): the Comptroller may waive penalty or interest where the holder made a good-faith effort to comply, and may set periods for reporting delinquent property without penalty or interest. Comptroller VDA page (claimittexas.gov/app/disclosure-program): written request by e-mail to UP.VDA.requests@cpa.texas.gov with company name, contact, FEIN, address, estimated remittance and the date of any audit contact. Pub. 96-576 (08/2026): the unclaimed-property VDA look-back is 10 years. Without a VDA: penalty 5% of the value, plus a further 5% if more than 30 days late (74.706); interest 10% per year from the due date (74.705). Nothing on the Comptroller pages limits VDAs to first-time filers; the prior draft's statement to that effect came from a secondary source and is withdrawn.</t>
  </si>
  <si>
    <t xml:space="preserve">VERIFIED from the statute text on 10/6/2026: Prop. Code 72.101, 72.1015, 74.101, 74.1011, 74.301, 74.308, 74.309, 74.705-74.707 and Labor Code 61.001 read at statutes.capitol.texas.gov; Comptroller Pub. 96-478 (rev. March 2026) property-code table, Reporting Deadlines page, VDA page and Pub. 96-576 read. ANTI-LIMITATION: 74.308 - expiration of any period specified by CONTRACT, statute or court order during which a claim may be brought does not prevent property from being presumed abandoned or affect the duty to report and deliver. 74.309 - private escheat prohibited: no business may act through private agreement or any other means to take or divert funds into income for the purpose of circumventing the unclaimed property process. No business-to-business exemption exists in chapters 72-74.</t>
  </si>
  <si>
    <t xml:space="preserve">LONG</t>
  </si>
  <si>
    <t xml:space="preserve">Agents are independent contractors (confirmed by user). 72.1015 reaches only 'wages' as defined in Labor Code 61.001(7): compensation owed by an employer to an employee; 61.001(3)(B) excludes independent contractors. The Comptroller's own property-code table (Pub. 96-478, rev. March 2026) puts MS02 'Commissions' at 3 years and MS01 wages at 1 year. The 3-year general rule (72.101) is the test. ADOPTED by management on 10/6/2026 after the statute and Comptroller text were verified; the 1-year wage rule is not applied.</t>
  </si>
  <si>
    <t xml:space="preserve">https://statutes.capitol.texas.gov/Docs/PR/htm/PR.72.htm ; https://statutes.capitol.texas.gov/Docs/PR/htm/PR.74.htm ; https://statutes.capitol.texas.gov/Docs/LA/htm/LA.61.htm ; https://www.claimittexas.gov/docs/96-478.pdf ; https://www.claimittexas.gov/app/holder-deadlines ; https://www.claimittexas.gov/app/disclosure-program ; https://www.comptroller.texas.gov/taxes/publications/96-576.php</t>
  </si>
  <si>
    <t xml:space="preserve">Illinois</t>
  </si>
  <si>
    <t xml:space="preserve">765 ILCS 1026/15-201(13): 'wages, commissions, bonuses, or reimbursements to which an employee is entitled, or other compensation for personal services, including amounts held on a payroll card, one year after the amount becomes payable'. The 'other compensation for personal services' clause is not limited to employees, so independent-contractor commissions fall within the 1-year period.</t>
  </si>
  <si>
    <t xml:space="preserve">765 ILCS 1026/15-201(15): property not otherwise specified, 3 years after the earlier of the owner's right to demand it or the obligation to pay or distribute it arising.</t>
  </si>
  <si>
    <t xml:space="preserve">Before May 1 for business associations other than financial organizations and insurers, covering the immediately preceding calendar year (15-403(b)). Financial organizations, non-life insurers and governments file before November 1 for the 12 months ending June 30 (15-403(a)). Treasurer deadline table: Services / Trade / Manufacturing holders - period ending December 31, due before May 1.</t>
  </si>
  <si>
    <t xml:space="preserve">December 31 (calendar-year holder; the November 1 / June 30 cycle in the prior draft applies only to financial organizations, insurers and governments)</t>
  </si>
  <si>
    <t xml:space="preserve">15-501(a): notice by first-class mail not more than one year nor less than 60 days before filing the report, where the holder has an address not shown to be invalid and the property is $50 or more; also by e-mail where the owner consented to e-mail (15-501(b)).</t>
  </si>
  <si>
    <t xml:space="preserve">Treasurer VDA program (icash.illinoistreasurer.gov/app/disclosure-program, in place since June 2008): the Treasurer forgoes penalties and interest for holders that are not under examination, complete a self-audit and remit within six months of execution, can support any estimation technique, and accept the agreement without modification. Illinois has no business-to-business exemption under its 2018 Revised Uniform Unclaimed Property Act.</t>
  </si>
  <si>
    <t xml:space="preserve">VERIFIED from the statute text on 10/6/2026: 15-201, 15-403, 15-501 and 15-610 read at ilga.gov (the site presents an incomplete TLS chain and blocks non-browser clients; the pages were fetched with the Sectigo intermediate certificate added and a browser user agent, with certificate verification on); Treasurer reporting guidelines, deadlines and VDA pages read. ANTI-LIMITATION: 15-610(a) - expiration of a period of limitation on the owner's right to receive or recover property, whether specified by CONTRACT, statute or court order, does not prevent the property from being presumed abandoned or affect the holder's duty to report and deliver. 15-610(b): the Treasurer may not enforce more than 10 years after the holder specifically identified the property in a report; the period is tolled where no report was filed.</t>
  </si>
  <si>
    <t xml:space="preserve">SHORT</t>
  </si>
  <si>
    <t xml:space="preserve">15-201(13) reaches 'other compensation for personal services', not only employee wages, so independent-contractor commissions fall under the 1-year period. 3-year catch-all (15-201(15)) is the fallback. Verified from the statute text.</t>
  </si>
  <si>
    <t xml:space="preserve">https://www.ilga.gov/legislation/ilcs/documents/076510260K15-201.htm ; https://www.ilga.gov/legislation/ilcs/documents/076510260K15-403.htm ; https://www.ilga.gov/legislation/ilcs/documents/076510260K15-501.htm ; https://www.ilga.gov/legislation/ilcs/documents/076510260K15-610.htm ; https://icash.illinoistreasurer.gov/app/reporting-guidelines ; https://icash.illinoistreasurer.gov/app/holder-deadlines ; https://icash.illinoistreasurer.gov/app/disclosure-program</t>
  </si>
  <si>
    <t xml:space="preserve">Pennsylvania</t>
  </si>
  <si>
    <t xml:space="preserve">72 P.S. 1301.10(2) (Fiscal Code Art. XIII.1, text as published by PA Treasury): 'Wages or other compensation for personal services that have remained unclaimed by the owner for more than two (2) years after the wages or other compensation for personal services become payable or are distributed are presumed abandoned and unclaimed.' Not limited to employees. Treasury's Holder Reporting Handbook and VDA form both describe the exception as 'payroll and commissions - 2 years', and the Dormancy Matrix lists 'Wages/Commissions ... 2'.</t>
  </si>
  <si>
    <t xml:space="preserve">72 P.S. 1301.10(1): all property not otherwise covered by the Act, held or owing in the ordinary course of the holder's business, unclaimed for more than 3 years after it became payable or distributable. (1301.6, property held by business associations, covers gift cards, stock, dividends, bonds and cooperative distributions and sets no commissions period; the prior draft's citation of 1301.5 for commissions was wrong - 1301.5 is property held by utilities.)</t>
  </si>
  <si>
    <t xml:space="preserve">April 15 of the year following the year in which the property became subject to the Commonwealth's custody (1301.11(d)); payment with the report (1301.13(a)); the Treasurer may extend the report date up to six months on written request.</t>
  </si>
  <si>
    <t xml:space="preserve">December 31. Handbook: report year 2026 (due April 15, 2027) covers 2-year property with transactions January 1 - December 31, 2024 and 3-year property with transactions in calendar 2023.</t>
  </si>
  <si>
    <t xml:space="preserve">1301.10a: notice to the owner not more than 120 nor less than 60 days before the report is due, by first-class mail (or an electronic method the owner previously agreed to), where the holder has an address not known to be inaccurate and the property is $50 or more; the notice must describe the property, its ownership, its value if known and how to contact the holder; the report must include an affirmation of compliance (1301.10a(d)); no fee may be charged to the owner.</t>
  </si>
  <si>
    <t xml:space="preserve">Treasury Voluntary Disclosure Agreement (searchandclaimpa.gov/docs/PA_Voluntary_Disclosure_Agreement.pdf): Treasury waives penalties and interest under 1301.24 and 1301.25 for property reported within the agreement; the holder must be coming forward voluntarily, not be under audit or self-audit, and not have had voluntary compliance in the past 10 years; 10-year look-back; report within 90 days of execution; no report may be filed before Treasury's signed approval. Without a VDA: interest of 12% per year from when the report was due (1301.24(b)) and a penalty of up to $1,000 per day (1301.24(c)); the Treasurer may waive for good cause and must waive penalties where the holder acted in good faith and without negligence (1301.25(c)). The prior draft's statement that PA's program ended in 2010 referred to a one-time amnesty and is superseded.</t>
  </si>
  <si>
    <t xml:space="preserve">VERIFIED on 10/6/2026 from the statute text as published by PA Treasury (PA_UCP_Law.pdf: 1301.6, 1301.10, 1301.10a, 1301.11, 1301.13, 1301.16, 1301.24, 1301.25 read), the Treasury Dormancy Matrix, the Holder Reporting Handbook, the Reporting Guidelines page and the VDA form. The General Assembly's own viewer for 1929 Act 176 Art. XIII.1 (palegis.us) returned only its page shell and its PDF link returned an error, so the Treasury reprint is the text relied on. ANTI-LIMITATION: 1301.16 - expiration of any period specified by STATUTE OR COURT ORDER during which the owner could sue the holder does not prevent custody or affect the duty to report; unlike TX, IL, FL and AL it does NOT mention periods set by contract, and the Act contains no private-escheat prohibition equivalent to Tex. Prop. Code 74.309. The Philly ICA 60-day forfeiture clause is therefore not answered by the Pennsylvania statute either way; it is a contract-law question for counsel. Most Philly items default to Texas, where 74.308 and 74.309 apply.</t>
  </si>
  <si>
    <t xml:space="preserve">1301.10(2) reaches 'wages or other compensation for personal services', and Treasury's handbook, matrix and VDA form all describe the 2-year exception as covering commissions. 3-year rule (1301.10(1)) is the fallback. Verified from the statute text.</t>
  </si>
  <si>
    <t xml:space="preserve">https://www.searchandclaimpa.gov/docs/PA_UCP_Law.pdf ; https://www.patreasury.gov/pdf/unclaimed-property/Dormancy-Matrix.pdf ; https://www.searchandclaimpa.gov/docs/PA_Holder_Reporting_Handbook.pdf ; https://www.searchandclaimpa.gov/app/reporting-guidelines ; https://www.searchandclaimpa.gov/docs/PA_Voluntary_Disclosure_Agreement.pdf</t>
  </si>
  <si>
    <t xml:space="preserve">Florida</t>
  </si>
  <si>
    <t xml:space="preserve">Fla. Stat. 717.115: unpaid wages, including wages represented by unpresented payroll checks, owing in the ordinary course of the holder's business and unclaimed for more than 1 year after becoming payable. 'Wages' is not defined in ch. 717 and nothing in the section extends it to independent-contractor commissions.</t>
  </si>
  <si>
    <t xml:space="preserve">Fla. Stat. 717.1035(1): intangible property held by a business association organized or located in Florida is presumed unclaimed 3 years after the date prescribed for payment where the owner's LAST KNOWN ADDRESS IS UNKNOWN. That is exactly the case in which Florida governs a Gallery item under the second priority rule, so 3 years is used here. Where the agent has a Florida address the general rule applies instead: 717.102(1), 5 years after the property becomes payable (change E to 5 for such an item). The prior draft used 5 years.</t>
  </si>
  <si>
    <t xml:space="preserve">Before May 1, covering the preceding calendar year (717.117(5)); payment with the report (717.119(1)). DFS holder portal: the 2025 report and remittance were due May 1, 2026 for property that reached its dormancy period during the calendar year ending December 31, 2025; 'Florida is NOT a November filing state'.</t>
  </si>
  <si>
    <t xml:space="preserve">December 31</t>
  </si>
  <si>
    <t xml:space="preserve">717.117(6): for property of $50 or more, written notice by first-class mail (or e-mail if the owner elected it) not more than 120 nor less than 60 days before filing, where the holder has an address not known to be inaccurate; the notice must carry the statutory heading and give the owner at least 30 days to respond (717.117(7)). Owners of $10 or more are listed by name on the report (717.117(1)(a)).</t>
  </si>
  <si>
    <t xml:space="preserve">DFS Voluntary Disclosure Program (fltreasurehunt.gov/Voluntary-Disclosure-Program.jsp; Rule 69G-20.050, F.A.C., effective 12/6/2022): no penalty or interest on the reported property; the holder must not be under examination, must not have filed an annual report before, and must not have been asked to self-audit; the self-audit covers the prior 10 report years and is due within 3 months of the Final Order; estimation methods must be approved by DFS. (The prior draft's 5-year look-back came from a secondary source; the DFS page says ten report years.) Without a VDA: willful failure to report - $500 per day up to $5,000 plus 25% of the value of property not reported (717.134(1)); late report - $10 per day up to $500 (717.117(5)); DFS enforcement is limited to 10 years after the duty arose (717.129(2)).</t>
  </si>
  <si>
    <t xml:space="preserve">VERIFIED from the statute text on 10/6/2026: Fla. Stat. ch. 717 (2024, flsenate.gov) sections 717.102, 717.1035, 717.115, 717.117, 717.119, 717.129 and 717.134 read; DFS VDA page, Rule 69G-20.050 record and holder portal read. The fltreasurehunt.gov/Holder.jsp URL in the prior draft is blocked by the site's firewall; holders are directed to portal.claimyourcashfl.gov. ANTI-LIMITATION: 717.129(1) - expiration of any period specified by CONTRACT, statute or court order during which a claim may be made does not prevent property from being presumed unclaimed or affect the duty to report and deliver. RaySon Partners, LLC is a Florida LLC per the Entity Management Database, which makes 717.1035 (3 years, unknown address) rather than 717.102 (5 years) the operative long period for its unknown-agent items; no Gallery item is older than 5/14/2026, so there is no dollar effect today.</t>
  </si>
  <si>
    <t xml:space="preserve">717.115 reaches 'unpaid wages' only; nothing extends it to contractor commissions. For a Florida-organized holder whose owner address is unknown the test is 717.1035 (3 years); where the owner has a Florida address it is 717.102 (5 years). Verified from the statute text.</t>
  </si>
  <si>
    <t xml:space="preserve">https://www.flsenate.gov/Laws/Statutes/2024/Chapter717/All ; https://www.fltreasurehunt.gov/Voluntary-Disclosure-Program.jsp ; https://www.flrules.org/gateway/ruleno.asp?id=69G-20.050 ; https://portal.claimyourcashfl.gov/UP-Web/sitePages/ReportUnclaimedPropertyHR.jsp</t>
  </si>
  <si>
    <t xml:space="preserve">Alabama</t>
  </si>
  <si>
    <t xml:space="preserve">Ala. Code 35-12-72(a)(14): 'Wages or other compensation for personal services, one year after the compensation becomes payable.' Not limited to employees; independent-contractor commissions fall within 'other compensation for personal services'. The Treasurer's dormancy guide lists 'Wages 1' and 'All other property 3' and does not list commissions separately.</t>
  </si>
  <si>
    <t xml:space="preserve">Ala. Code 35-12-72(a)(18): all other property, 3 years after the owner's right to demand it or the obligation to pay or distribute it arises, whichever first occurs.</t>
  </si>
  <si>
    <t xml:space="preserve">Before November 1, covering the 12 months preceding July 1 (35-12-76(c)); remittance with the report on or before November 1 (35-12-77(e)). Treasurer deadline page: all industry types, period ending June 30, due November 1.</t>
  </si>
  <si>
    <t xml:space="preserve">June 30</t>
  </si>
  <si>
    <t xml:space="preserve">35-12-76(d): written notice to the apparent owner not less than 60 days before filing the report, where the holder has an address not shown to be inaccurate, the owner's claim is not barred by a statute of limitations, and the property is $50 or more. Items under $50 may be reported in aggregate (35-12-76(b)(8); Ala. Admin. Code 892-2-1-.02(5)).</t>
  </si>
  <si>
    <t xml:space="preserve">Treasurer VDA (unclaimed.alabama.gov/app/disclosure-program): an amnesty agreement under which a holder reports past-due property without interest or penalties for the property covered; Ala. Admin. Code 892-2-1-.02(6) provides that a holder with unreported prior-year property may file a VDA and report without incurring penalties. Without it: $100 per business day up to $5,000 for failing to report or pay, $500 per day up to $25,000 if willful; the Treasurer must waive penalties where the holder acted in good faith (35-12-92).</t>
  </si>
  <si>
    <t xml:space="preserve">VERIFIED on 10/6/2026 from the Code text published by the Alabama Treasury (UCP-law.pdf: 35-12-72, 35-12-76, 35-12-77, 35-12-78, 35-12-88, 35-12-92 read), the Treasurer's dormancy guide, reporting guidelines PDF, deadlines and VDA pages, and Ala. Admin. Code ch. 892-2-1. ANTI-LIMITATION: 35-12-88(a) - expiration of a period of limitation on the owner's right to receive or recover property, whether specified by CONTRACT, statute or court order, does not preclude the property from being presumed abandoned or affect the duty to report and deliver. 35-12-88(b): the Treasurer may not enforce more than 10 years after the holder identified the property in a report; tolled where no report was filed. Leading Edge Realty is an Alabama entity per the Entity Management Database.</t>
  </si>
  <si>
    <t xml:space="preserve">35-12-72(a)(14) reaches 'wages or other compensation for personal services', so independent-contractor commissions fall under the 1-year period. 3-year rule (35-12-72(a)(18)) is the fallback. Verified from the Code text.</t>
  </si>
  <si>
    <t xml:space="preserve">https://treasury.alabama.gov/wp-content/uploads/2024/07/UCP-law.pdf ; https://unclaimed.alabama.gov/docs/Dormancy%20Period%20Guide%20-%202015-final.pdf ; https://unclaimed.alabama.gov/docs/AL_Reporting_Guidelines.pdf ; https://unclaimed.alabama.gov/app/holder-deadlines ; https://unclaimed.alabama.gov/app/disclosure-program ; https://admincode.legislature.state.al.us/api/chapter/892-2-1</t>
  </si>
  <si>
    <t xml:space="preserve">MO</t>
  </si>
  <si>
    <t xml:space="preserve">Missouri (HQ / possible state of formation)</t>
  </si>
  <si>
    <t xml:space="preserve">RSMo 447.536 as amended by HB 1075 (2014): payroll/wages dormancy reduced from 5 to 3 years effective 1/1/2015 (per secondary sources).</t>
  </si>
  <si>
    <t xml:space="preserve">RSMo 447.536: general 5-year dormancy period for most property types (per secondary sources).</t>
  </si>
  <si>
    <t xml:space="preserve">November 1</t>
  </si>
  <si>
    <t xml:space="preserve">Due diligence letter required when the owner is due $50 or more (Missouri Treasurer guidance, per secondary sources).</t>
  </si>
  <si>
    <t xml:space="preserve">Not researched.</t>
  </si>
  <si>
    <t xml:space="preserve">NOT VERIFIED - not researched in the 10/6/2026 verification pass because no holder entity is formed in Missouri (Entity Management Database), so Missouri governs nothing in this population. Missouri matters only under the SECOND priority rule (Texas v. New Jersey, 379 U.S. 674 (1965)): property whose owner address is unknown goes to the holder's state of formation, which is the entity's formation state, NOT its headquarters city. Missouri also has a business-to-business exclusion (HB 1075, 2014) per secondary sources.</t>
  </si>
  <si>
    <t xml:space="preserve">Missouri's 3-year rule is for payroll checks; commissions to non-employees would fall under the 5-year general rule. Applies only if an LLC is formed in Missouri and the owner's address is unknown. Not verified.</t>
  </si>
  <si>
    <t xml:space="preserve">https://revisor.mo.gov/main/OneSection.aspx?section=447.536 ; https://treasurer.mo.gov/UCP/ReportingUnclaimedProperty.aspx</t>
  </si>
  <si>
    <t xml:space="preserve">District of Columbia</t>
  </si>
  <si>
    <t xml:space="preserve">Not researched - DC accrued balance is $0.</t>
  </si>
  <si>
    <t xml:space="preserve">Priority rules (Texas v. New Jersey, 379 U.S. 674 (1965)): (1) the state of the owner's last-known address on the holder's books; (2) if no address, the holder's state of incorporation/formation. The user confirmed that for many older checks the agent is unknown: those items fall under rule (2) and go to the state where each LLC was formed. Per the Entity Management Database that is TEXAS for URE Dallas, URE Houston, Quick Close Properties (TUR), URE Chicago and URE Philadelphia (the last two are Texas LLCs registered as foreign entities in IL and PA), FLORIDA for RaySon Partners d/b/a URE Gallery and ALABAMA for Leading Edge Realty. Not the office's state, and not Kansas City. Private retention of amounts owed to others ('private escheat') is not permitted by any state; an unknown owner does not make the money the company's.</t>
  </si>
  <si>
    <t xml:space="preserve">Blue = hardcoded inputs you can change. Tests in col M were adopted by management on 10/6/2026 after verification (Texas: 3-year rule). All dormancy periods are expressed in years and are applied from the DEPOSIT DATE in the cash-requirements workbook as a proxy for the date the amount became payable - the true trigger is when the agent's share became payable, which may be earlier (closing date) or later.</t>
  </si>
</sst>
</file>

<file path=xl/styles.xml><?xml version="1.0" encoding="utf-8"?>
<styleSheet xmlns="http://schemas.openxmlformats.org/spreadsheetml/2006/main">
  <numFmts count="5">
    <numFmt numFmtId="164" formatCode="General"/>
    <numFmt numFmtId="165" formatCode="mm/dd/yyyy"/>
    <numFmt numFmtId="166" formatCode="\$#,##0.00;&quot;($&quot;#,##0.00\);\-"/>
    <numFmt numFmtId="167" formatCode="General"/>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
      <sz val="10"/>
      <color rgb="FF008000"/>
      <name val="Arial"/>
      <family val="0"/>
      <charset val="1"/>
    </font>
    <font>
      <sz val="10"/>
      <name val="Arial"/>
      <family val="2"/>
    </font>
  </fonts>
  <fills count="6">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D9E1F2"/>
        <bgColor rgb="FFFCE4D6"/>
      </patternFill>
    </fill>
    <fill>
      <patternFill patternType="solid">
        <fgColor rgb="FFFCE4D6"/>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FCE4D6"/>
          <bgColor rgb="FF000000"/>
        </patternFill>
      </fill>
    </dxf>
    <dxf>
      <fill>
        <patternFill patternType="solid">
          <fgColor rgb="FFFFFF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0" topLeftCell="C11" activePane="bottomRight" state="frozen"/>
      <selection pane="topLeft" activeCell="A1" activeCellId="0" sqref="A1"/>
      <selection pane="topRight" activeCell="C1" activeCellId="0" sqref="C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3"/>
    <col collapsed="false" customWidth="true" hidden="false" outlineLevel="0" max="5" min="3" style="0" width="16"/>
    <col collapsed="false" customWidth="true" hidden="false" outlineLevel="0" max="6" min="6" style="0" width="8"/>
    <col collapsed="false" customWidth="true" hidden="false" outlineLevel="0" max="10" min="7" style="0" width="13"/>
    <col collapsed="false" customWidth="true" hidden="false" outlineLevel="0" max="11" min="11" style="0" width="11"/>
    <col collapsed="false" customWidth="true" hidden="false" outlineLevel="0" max="14" min="12" style="0" width="15"/>
    <col collapsed="false" customWidth="true" hidden="false" outlineLevel="0" max="15" min="15" style="0" width="16"/>
    <col collapsed="false" customWidth="true" hidden="false" outlineLevel="0" max="17" min="16" style="0" width="8"/>
    <col collapsed="false" customWidth="true" hidden="false" outlineLevel="0" max="19" min="18" style="0" width="15"/>
    <col collapsed="false" customWidth="true" hidden="false" outlineLevel="0" max="23" min="20" style="0" width="17"/>
    <col collapsed="false" customWidth="true" hidden="false" outlineLevel="0" max="24" min="24" style="0" width="10"/>
    <col collapsed="false" customWidth="true" hidden="false" outlineLevel="0" max="26" min="25" style="0" width="17"/>
    <col collapsed="false" customWidth="true" hidden="false" outlineLevel="0" max="27" min="27" style="0" width="12"/>
    <col collapsed="false" customWidth="true" hidden="false" outlineLevel="0" max="28" min="28" style="0" width="8"/>
    <col collapsed="false" customWidth="true" hidden="false" outlineLevel="0" max="29" min="29" style="0" width="70"/>
  </cols>
  <sheetData>
    <row r="1" customFormat="false" ht="17.35" hidden="false" customHeight="false" outlineLevel="0" collapsed="false">
      <c r="A1" s="1" t="s">
        <v>0</v>
      </c>
    </row>
    <row r="2" customFormat="false" ht="31.5" hidden="false" customHeight="true" outlineLevel="0" collapsed="false">
      <c r="A2" s="2" t="s">
        <v>1</v>
      </c>
      <c r="B2" s="2"/>
      <c r="C2" s="2"/>
      <c r="D2" s="2"/>
      <c r="E2" s="2"/>
      <c r="F2" s="2"/>
      <c r="G2" s="2"/>
      <c r="H2" s="2"/>
      <c r="I2" s="2"/>
      <c r="J2" s="2"/>
      <c r="K2" s="2"/>
      <c r="L2" s="2"/>
      <c r="M2" s="2"/>
      <c r="N2" s="2"/>
      <c r="O2" s="2"/>
      <c r="P2" s="2"/>
      <c r="Q2" s="2"/>
      <c r="R2" s="2"/>
      <c r="S2" s="2"/>
      <c r="T2" s="2"/>
      <c r="U2" s="2"/>
      <c r="V2" s="2"/>
      <c r="W2" s="2"/>
      <c r="X2" s="2"/>
      <c r="Y2" s="2"/>
      <c r="Z2" s="2"/>
      <c r="AA2" s="2"/>
      <c r="AB2" s="2"/>
      <c r="AC2" s="2"/>
    </row>
    <row r="3" customFormat="false" ht="15" hidden="false" customHeight="false" outlineLevel="0" collapsed="false">
      <c r="A3" s="3" t="s">
        <v>2</v>
      </c>
      <c r="B3" s="4" t="n">
        <v>46301</v>
      </c>
    </row>
    <row r="4" customFormat="false" ht="15" hidden="false" customHeight="false" outlineLevel="0" collapsed="false">
      <c r="A4" s="3" t="s">
        <v>3</v>
      </c>
      <c r="C4" s="5" t="n">
        <v>644</v>
      </c>
      <c r="D4" s="5" t="n">
        <v>1044</v>
      </c>
      <c r="E4" s="5" t="n">
        <v>69</v>
      </c>
      <c r="F4" s="5" t="n">
        <v>595</v>
      </c>
      <c r="G4" s="5" t="n">
        <v>995</v>
      </c>
      <c r="H4" s="5" t="n">
        <v>49</v>
      </c>
      <c r="I4" s="5" t="n">
        <v>110</v>
      </c>
      <c r="J4" s="5" t="n">
        <v>495</v>
      </c>
      <c r="K4" s="5" t="n">
        <v>895</v>
      </c>
      <c r="L4" s="5" t="n">
        <v>544</v>
      </c>
      <c r="M4" s="5" t="n">
        <v>944</v>
      </c>
      <c r="N4" s="5" t="n">
        <v>45</v>
      </c>
      <c r="O4" s="5" t="n">
        <v>75</v>
      </c>
      <c r="P4" s="5" t="n">
        <v>100</v>
      </c>
      <c r="Q4" s="5" t="n">
        <v>125</v>
      </c>
      <c r="R4" s="5" t="n">
        <v>50</v>
      </c>
    </row>
    <row r="5" customFormat="false" ht="15" hidden="false" customHeight="false" outlineLevel="0" collapsed="false">
      <c r="A5" s="3" t="s">
        <v>4</v>
      </c>
      <c r="C5" s="5" t="n">
        <v>295</v>
      </c>
      <c r="D5" s="5"/>
      <c r="E5" s="5"/>
      <c r="F5" s="5"/>
      <c r="G5" s="5"/>
      <c r="H5" s="5"/>
      <c r="I5" s="5"/>
      <c r="J5" s="5"/>
      <c r="K5" s="5"/>
      <c r="L5" s="5"/>
      <c r="M5" s="5"/>
      <c r="N5" s="5"/>
      <c r="O5" s="5"/>
      <c r="P5" s="5"/>
      <c r="Q5" s="5"/>
      <c r="R5" s="5"/>
    </row>
    <row r="6" customFormat="false" ht="15" hidden="false" customHeight="false" outlineLevel="0" collapsed="false">
      <c r="A6" s="3" t="s">
        <v>5</v>
      </c>
      <c r="C6" s="5" t="n">
        <v>150</v>
      </c>
      <c r="D6" s="5" t="n">
        <v>250</v>
      </c>
      <c r="E6" s="5" t="n">
        <v>350</v>
      </c>
      <c r="F6" s="5" t="n">
        <v>450</v>
      </c>
      <c r="G6" s="5" t="n">
        <v>60</v>
      </c>
      <c r="H6" s="5" t="n">
        <v>179</v>
      </c>
      <c r="I6" s="5"/>
      <c r="J6" s="5"/>
      <c r="K6" s="5"/>
      <c r="L6" s="5"/>
      <c r="M6" s="5"/>
      <c r="N6" s="5"/>
      <c r="O6" s="5"/>
      <c r="P6" s="5"/>
      <c r="Q6" s="5"/>
      <c r="R6" s="5"/>
    </row>
    <row r="7" customFormat="false" ht="15" hidden="false" customHeight="false" outlineLevel="0" collapsed="false">
      <c r="A7" s="3" t="s">
        <v>6</v>
      </c>
      <c r="C7" s="5" t="n">
        <v>100</v>
      </c>
      <c r="D7" s="5" t="n">
        <v>395</v>
      </c>
      <c r="E7" s="5" t="n">
        <v>695</v>
      </c>
      <c r="F7" s="5" t="n">
        <v>995</v>
      </c>
      <c r="G7" s="5" t="n">
        <v>1295</v>
      </c>
      <c r="H7" s="5" t="n">
        <v>1595</v>
      </c>
      <c r="I7" s="5" t="n">
        <v>1895</v>
      </c>
      <c r="J7" s="5" t="n">
        <v>2195</v>
      </c>
      <c r="K7" s="5" t="n">
        <v>2495</v>
      </c>
      <c r="L7" s="5" t="n">
        <v>2795</v>
      </c>
      <c r="M7" s="5" t="n">
        <v>35</v>
      </c>
      <c r="N7" s="5" t="n">
        <v>150</v>
      </c>
      <c r="O7" s="5"/>
      <c r="P7" s="5"/>
      <c r="Q7" s="5"/>
      <c r="R7" s="5"/>
    </row>
    <row r="8" customFormat="false" ht="15" hidden="false" customHeight="false" outlineLevel="0" collapsed="false">
      <c r="A8" s="3" t="s">
        <v>7</v>
      </c>
      <c r="B8" s="5" t="n">
        <v>250</v>
      </c>
    </row>
    <row r="10" customFormat="false" ht="69.75" hidden="false" customHeight="true" outlineLevel="0" collapsed="false">
      <c r="A10" s="6" t="s">
        <v>8</v>
      </c>
      <c r="B10" s="6" t="s">
        <v>9</v>
      </c>
      <c r="C10" s="6" t="s">
        <v>10</v>
      </c>
      <c r="D10" s="6" t="s">
        <v>11</v>
      </c>
      <c r="E10" s="6" t="s">
        <v>12</v>
      </c>
      <c r="F10" s="6" t="s">
        <v>13</v>
      </c>
      <c r="G10" s="6" t="s">
        <v>14</v>
      </c>
      <c r="H10" s="6" t="s">
        <v>15</v>
      </c>
      <c r="I10" s="6" t="s">
        <v>16</v>
      </c>
      <c r="J10" s="6" t="s">
        <v>17</v>
      </c>
      <c r="K10" s="6" t="s">
        <v>18</v>
      </c>
      <c r="L10" s="6" t="s">
        <v>19</v>
      </c>
      <c r="M10" s="6" t="s">
        <v>20</v>
      </c>
      <c r="N10" s="6" t="s">
        <v>21</v>
      </c>
      <c r="O10" s="6" t="s">
        <v>22</v>
      </c>
      <c r="P10" s="6" t="s">
        <v>23</v>
      </c>
      <c r="Q10" s="6" t="s">
        <v>24</v>
      </c>
      <c r="R10" s="6" t="s">
        <v>25</v>
      </c>
      <c r="S10" s="6" t="s">
        <v>26</v>
      </c>
      <c r="T10" s="6" t="s">
        <v>27</v>
      </c>
      <c r="U10" s="6" t="s">
        <v>28</v>
      </c>
      <c r="V10" s="6" t="s">
        <v>29</v>
      </c>
      <c r="W10" s="6" t="s">
        <v>30</v>
      </c>
      <c r="X10" s="6" t="s">
        <v>31</v>
      </c>
      <c r="Y10" s="6" t="s">
        <v>32</v>
      </c>
      <c r="Z10" s="6" t="s">
        <v>33</v>
      </c>
      <c r="AA10" s="6" t="s">
        <v>34</v>
      </c>
      <c r="AB10" s="6" t="s">
        <v>35</v>
      </c>
      <c r="AC10" s="6" t="s">
        <v>36</v>
      </c>
    </row>
    <row r="11" customFormat="false" ht="23.85" hidden="false" customHeight="false" outlineLevel="0" collapsed="false">
      <c r="A11" s="7" t="s">
        <v>37</v>
      </c>
      <c r="B11" s="8" t="s">
        <v>38</v>
      </c>
      <c r="C11" s="9" t="n">
        <f aca="false">SUMIFS(Detail!$H:$H,Detail!$A:$A,$A11)</f>
        <v>59991.62</v>
      </c>
      <c r="D11" s="9" t="n">
        <f aca="false">SUMIFS('Current Month'!$F:$F,'Current Month'!$A:$A,$A11)</f>
        <v>15586.87</v>
      </c>
      <c r="E11" s="10" t="n">
        <f aca="false">C11+D11</f>
        <v>75578.49</v>
      </c>
      <c r="F11" s="11" t="n">
        <f aca="false">COUNTIFS(Detail!$A:$A,$A11,Detail!$H:$H,"&lt;&gt;")</f>
        <v>50</v>
      </c>
      <c r="G11" s="9" t="n">
        <f aca="false">SUMIFS(Detail!$H:$H,Detail!$A:$A,$A11,Detail!$L:$L,"0-1 yrs")</f>
        <v>39767.62</v>
      </c>
      <c r="H11" s="9" t="n">
        <f aca="false">SUMIFS(Detail!$H:$H,Detail!$A:$A,$A11,Detail!$L:$L,"1-2 yrs")</f>
        <v>6244.96</v>
      </c>
      <c r="I11" s="9" t="n">
        <f aca="false">SUMIFS(Detail!$H:$H,Detail!$A:$A,$A11,Detail!$L:$L,"2-3 yrs")</f>
        <v>7179.74</v>
      </c>
      <c r="J11" s="9" t="n">
        <f aca="false">SUMIFS(Detail!$H:$H,Detail!$A:$A,$A11,Detail!$L:$L,"3-5 yrs")</f>
        <v>6799.3</v>
      </c>
      <c r="K11" s="9" t="n">
        <f aca="false">SUMIFS(Detail!$H:$H,Detail!$A:$A,$A11,Detail!$L:$L,"5+ yrs")</f>
        <v>0</v>
      </c>
      <c r="L11" s="9" t="n">
        <f aca="false">SUMIFS(Detail!$H:$H,Detail!$A:$A,$A11,Detail!$N:$N,"Fee amount*")</f>
        <v>2401</v>
      </c>
      <c r="M11" s="9" t="n">
        <f aca="false">SUMIFS(Detail!$H:$H,Detail!$A:$A,$A11,Detail!$N:$N,"Small amount*")</f>
        <v>622.08</v>
      </c>
      <c r="N11" s="9" t="n">
        <f aca="false">SUMIFS(Detail!$H:$H,Detail!$A:$A,$A11,Detail!$N:$N,"Memo flag*")</f>
        <v>27321.63</v>
      </c>
      <c r="O11" s="9" t="n">
        <f aca="false">SUMIFS(Detail!$H:$H,Detail!$A:$A,$A11,Detail!$N:$N,"Larger amount*")</f>
        <v>29646.91</v>
      </c>
      <c r="P11" s="12" t="n">
        <f aca="false">IFERROR(INDEX('State Rules'!$C$5:$C$11,MATCH($B11,'State Rules'!$A$5:$A$11,0)),"")</f>
        <v>1</v>
      </c>
      <c r="Q11" s="12" t="n">
        <f aca="false">IFERROR(INDEX('State Rules'!$E$5:$E$11,MATCH($B11,'State Rules'!$A$5:$A$11,0)),"")</f>
        <v>3</v>
      </c>
      <c r="R11" s="9" t="n">
        <f aca="false">SUMIFS(Detail!$H:$H,Detail!$A:$A,$A11,Detail!$P:$P,"&lt;="&amp;$B$3)</f>
        <v>20224</v>
      </c>
      <c r="S11" s="9" t="n">
        <f aca="false">SUMIFS(Detail!$H:$H,Detail!$A:$A,$A11,Detail!$Q:$Q,"&lt;="&amp;$B$3)</f>
        <v>6799.3</v>
      </c>
      <c r="T11" s="9" t="n">
        <f aca="false">SUMIFS(Detail!$AA:$AA,Detail!$A:$A,$A11,Detail!$P:$P,"&lt;="&amp;$B$3)</f>
        <v>17639.54</v>
      </c>
      <c r="U11" s="9" t="n">
        <f aca="false">SUMIFS(Detail!$AA:$AA,Detail!$A:$A,$A11,Detail!$Q:$Q,"&lt;="&amp;$B$3)</f>
        <v>6707.8</v>
      </c>
      <c r="V11" s="9" t="n">
        <f aca="false">SUMIFS(Detail!$AA:$AA,Detail!$A:$A,$A11,Detail!$R:$R,"Yes")</f>
        <v>21952.66</v>
      </c>
      <c r="W11" s="9" t="n">
        <f aca="false">SUMIFS(Detail!$AA:$AA,Detail!$A:$A,$A11,Detail!$S:$S,"Yes")</f>
        <v>8042.3</v>
      </c>
      <c r="X11" s="12" t="str">
        <f aca="false">IFERROR(INDEX('State Rules'!$M$5:$M$11,MATCH($B11,'State Rules'!$A$5:$A$11,0)),"")</f>
        <v>LONG</v>
      </c>
      <c r="Y11" s="9" t="n">
        <f aca="false">SUMIFS(Detail!$AA:$AA,Detail!$A:$A,$A11,Detail!$AC:$AC,"&lt;="&amp;$B$3)</f>
        <v>6707.8</v>
      </c>
      <c r="Z11" s="9" t="n">
        <f aca="false">SUMIFS(Detail!$AA:$AA,Detail!$A:$A,$A11,Detail!$AD:$AD,"Yes")</f>
        <v>8042.3</v>
      </c>
      <c r="AA11" s="13" t="n">
        <f aca="false">IF(F11=0,"",_xlfn.MINIFS(Detail!$E$7:$E$400,Detail!$A$7:$A$400,$A11))</f>
        <v>44988</v>
      </c>
      <c r="AB11" s="14" t="s">
        <v>38</v>
      </c>
      <c r="AC11" s="15" t="s">
        <v>39</v>
      </c>
    </row>
    <row r="12" customFormat="false" ht="23.85" hidden="false" customHeight="false" outlineLevel="0" collapsed="false">
      <c r="A12" s="7" t="s">
        <v>40</v>
      </c>
      <c r="B12" s="8" t="s">
        <v>38</v>
      </c>
      <c r="C12" s="9" t="n">
        <f aca="false">SUMIFS(Detail!$H:$H,Detail!$A:$A,$A12)</f>
        <v>76889.5</v>
      </c>
      <c r="D12" s="9" t="n">
        <f aca="false">SUMIFS('Current Month'!$F:$F,'Current Month'!$A:$A,$A12)</f>
        <v>10071.93</v>
      </c>
      <c r="E12" s="10" t="n">
        <f aca="false">C12+D12</f>
        <v>86961.43</v>
      </c>
      <c r="F12" s="11" t="n">
        <f aca="false">COUNTIFS(Detail!$A:$A,$A12,Detail!$H:$H,"&lt;&gt;")</f>
        <v>40</v>
      </c>
      <c r="G12" s="9" t="n">
        <f aca="false">SUMIFS(Detail!$H:$H,Detail!$A:$A,$A12,Detail!$L:$L,"0-1 yrs")</f>
        <v>26416.5</v>
      </c>
      <c r="H12" s="9" t="n">
        <f aca="false">SUMIFS(Detail!$H:$H,Detail!$A:$A,$A12,Detail!$L:$L,"1-2 yrs")</f>
        <v>35650.9</v>
      </c>
      <c r="I12" s="9" t="n">
        <f aca="false">SUMIFS(Detail!$H:$H,Detail!$A:$A,$A12,Detail!$L:$L,"2-3 yrs")</f>
        <v>9185.5</v>
      </c>
      <c r="J12" s="9" t="n">
        <f aca="false">SUMIFS(Detail!$H:$H,Detail!$A:$A,$A12,Detail!$L:$L,"3-5 yrs")</f>
        <v>5636.6</v>
      </c>
      <c r="K12" s="9" t="n">
        <f aca="false">SUMIFS(Detail!$H:$H,Detail!$A:$A,$A12,Detail!$L:$L,"5+ yrs")</f>
        <v>0</v>
      </c>
      <c r="L12" s="9" t="n">
        <f aca="false">SUMIFS(Detail!$H:$H,Detail!$A:$A,$A12,Detail!$N:$N,"Fee amount*")</f>
        <v>4859</v>
      </c>
      <c r="M12" s="9" t="n">
        <f aca="false">SUMIFS(Detail!$H:$H,Detail!$A:$A,$A12,Detail!$N:$N,"Small amount*")</f>
        <v>250</v>
      </c>
      <c r="N12" s="9" t="n">
        <f aca="false">SUMIFS(Detail!$H:$H,Detail!$A:$A,$A12,Detail!$N:$N,"Memo flag*")</f>
        <v>1875</v>
      </c>
      <c r="O12" s="9" t="n">
        <f aca="false">SUMIFS(Detail!$H:$H,Detail!$A:$A,$A12,Detail!$N:$N,"Larger amount*")</f>
        <v>69905.5</v>
      </c>
      <c r="P12" s="12" t="n">
        <f aca="false">IFERROR(INDEX('State Rules'!$C$5:$C$11,MATCH($B12,'State Rules'!$A$5:$A$11,0)),"")</f>
        <v>1</v>
      </c>
      <c r="Q12" s="12" t="n">
        <f aca="false">IFERROR(INDEX('State Rules'!$E$5:$E$11,MATCH($B12,'State Rules'!$A$5:$A$11,0)),"")</f>
        <v>3</v>
      </c>
      <c r="R12" s="9" t="n">
        <f aca="false">SUMIFS(Detail!$H:$H,Detail!$A:$A,$A12,Detail!$P:$P,"&lt;="&amp;$B$3)</f>
        <v>50473</v>
      </c>
      <c r="S12" s="9" t="n">
        <f aca="false">SUMIFS(Detail!$H:$H,Detail!$A:$A,$A12,Detail!$Q:$Q,"&lt;="&amp;$B$3)</f>
        <v>5636.6</v>
      </c>
      <c r="T12" s="9" t="n">
        <f aca="false">SUMIFS(Detail!$AA:$AA,Detail!$A:$A,$A12,Detail!$P:$P,"&lt;="&amp;$B$3)</f>
        <v>47791</v>
      </c>
      <c r="U12" s="9" t="n">
        <f aca="false">SUMIFS(Detail!$AA:$AA,Detail!$A:$A,$A12,Detail!$Q:$Q,"&lt;="&amp;$B$3)</f>
        <v>5636.6</v>
      </c>
      <c r="V12" s="9" t="n">
        <f aca="false">SUMIFS(Detail!$AA:$AA,Detail!$A:$A,$A12,Detail!$R:$R,"Yes")</f>
        <v>48641</v>
      </c>
      <c r="W12" s="9" t="n">
        <f aca="false">SUMIFS(Detail!$AA:$AA,Detail!$A:$A,$A12,Detail!$S:$S,"Yes")</f>
        <v>6011.6</v>
      </c>
      <c r="X12" s="12" t="str">
        <f aca="false">IFERROR(INDEX('State Rules'!$M$5:$M$11,MATCH($B12,'State Rules'!$A$5:$A$11,0)),"")</f>
        <v>LONG</v>
      </c>
      <c r="Y12" s="9" t="n">
        <f aca="false">SUMIFS(Detail!$AA:$AA,Detail!$A:$A,$A12,Detail!$AC:$AC,"&lt;="&amp;$B$3)</f>
        <v>5636.6</v>
      </c>
      <c r="Z12" s="9" t="n">
        <f aca="false">SUMIFS(Detail!$AA:$AA,Detail!$A:$A,$A12,Detail!$AD:$AD,"Yes")</f>
        <v>6011.6</v>
      </c>
      <c r="AA12" s="13" t="n">
        <f aca="false">IF(F12=0,"",_xlfn.MINIFS(Detail!$E$7:$E$400,Detail!$A$7:$A$400,$A12))</f>
        <v>44592</v>
      </c>
      <c r="AB12" s="14" t="s">
        <v>38</v>
      </c>
      <c r="AC12" s="15" t="s">
        <v>41</v>
      </c>
    </row>
    <row r="13" customFormat="false" ht="23.85" hidden="false" customHeight="false" outlineLevel="0" collapsed="false">
      <c r="A13" s="7" t="s">
        <v>42</v>
      </c>
      <c r="B13" s="8" t="s">
        <v>38</v>
      </c>
      <c r="C13" s="9" t="n">
        <f aca="false">SUMIFS(Detail!$H:$H,Detail!$A:$A,$A13)</f>
        <v>55528.45</v>
      </c>
      <c r="D13" s="9" t="n">
        <f aca="false">SUMIFS('Current Month'!$F:$F,'Current Month'!$A:$A,$A13)</f>
        <v>20054.2</v>
      </c>
      <c r="E13" s="10" t="n">
        <f aca="false">C13+D13</f>
        <v>75582.65</v>
      </c>
      <c r="F13" s="11" t="n">
        <f aca="false">COUNTIFS(Detail!$A:$A,$A13,Detail!$H:$H,"&lt;&gt;")</f>
        <v>50</v>
      </c>
      <c r="G13" s="9" t="n">
        <f aca="false">SUMIFS(Detail!$H:$H,Detail!$A:$A,$A13,Detail!$L:$L,"0-1 yrs")</f>
        <v>34473</v>
      </c>
      <c r="H13" s="9" t="n">
        <f aca="false">SUMIFS(Detail!$H:$H,Detail!$A:$A,$A13,Detail!$L:$L,"1-2 yrs")</f>
        <v>5539.51</v>
      </c>
      <c r="I13" s="9" t="n">
        <f aca="false">SUMIFS(Detail!$H:$H,Detail!$A:$A,$A13,Detail!$L:$L,"2-3 yrs")</f>
        <v>13657.94</v>
      </c>
      <c r="J13" s="9" t="n">
        <f aca="false">SUMIFS(Detail!$H:$H,Detail!$A:$A,$A13,Detail!$L:$L,"3-5 yrs")</f>
        <v>1858</v>
      </c>
      <c r="K13" s="9" t="n">
        <f aca="false">SUMIFS(Detail!$H:$H,Detail!$A:$A,$A13,Detail!$L:$L,"5+ yrs")</f>
        <v>0</v>
      </c>
      <c r="L13" s="9" t="n">
        <f aca="false">SUMIFS(Detail!$H:$H,Detail!$A:$A,$A13,Detail!$N:$N,"Fee amount*")</f>
        <v>6228</v>
      </c>
      <c r="M13" s="9" t="n">
        <f aca="false">SUMIFS(Detail!$H:$H,Detail!$A:$A,$A13,Detail!$N:$N,"Small amount*")</f>
        <v>1034.25</v>
      </c>
      <c r="N13" s="9" t="n">
        <f aca="false">SUMIFS(Detail!$H:$H,Detail!$A:$A,$A13,Detail!$N:$N,"Memo flag*")</f>
        <v>1444</v>
      </c>
      <c r="O13" s="9" t="n">
        <f aca="false">SUMIFS(Detail!$H:$H,Detail!$A:$A,$A13,Detail!$N:$N,"Larger amount*")</f>
        <v>46822.2</v>
      </c>
      <c r="P13" s="12" t="n">
        <f aca="false">IFERROR(INDEX('State Rules'!$C$5:$C$11,MATCH($B13,'State Rules'!$A$5:$A$11,0)),"")</f>
        <v>1</v>
      </c>
      <c r="Q13" s="12" t="n">
        <f aca="false">IFERROR(INDEX('State Rules'!$E$5:$E$11,MATCH($B13,'State Rules'!$A$5:$A$11,0)),"")</f>
        <v>3</v>
      </c>
      <c r="R13" s="9" t="n">
        <f aca="false">SUMIFS(Detail!$H:$H,Detail!$A:$A,$A13,Detail!$P:$P,"&lt;="&amp;$B$3)</f>
        <v>21055.45</v>
      </c>
      <c r="S13" s="9" t="n">
        <f aca="false">SUMIFS(Detail!$H:$H,Detail!$A:$A,$A13,Detail!$Q:$Q,"&lt;="&amp;$B$3)</f>
        <v>1858</v>
      </c>
      <c r="T13" s="9" t="n">
        <f aca="false">SUMIFS(Detail!$AA:$AA,Detail!$A:$A,$A13,Detail!$P:$P,"&lt;="&amp;$B$3)</f>
        <v>13942.2</v>
      </c>
      <c r="U13" s="9" t="n">
        <f aca="false">SUMIFS(Detail!$AA:$AA,Detail!$A:$A,$A13,Detail!$Q:$Q,"&lt;="&amp;$B$3)</f>
        <v>644</v>
      </c>
      <c r="V13" s="9" t="n">
        <f aca="false">SUMIFS(Detail!$AA:$AA,Detail!$A:$A,$A13,Detail!$R:$R,"Yes")</f>
        <v>15339.7</v>
      </c>
      <c r="W13" s="9" t="n">
        <f aca="false">SUMIFS(Detail!$AA:$AA,Detail!$A:$A,$A13,Detail!$S:$S,"Yes")</f>
        <v>2373.5</v>
      </c>
      <c r="X13" s="12" t="str">
        <f aca="false">IFERROR(INDEX('State Rules'!$M$5:$M$11,MATCH($B13,'State Rules'!$A$5:$A$11,0)),"")</f>
        <v>LONG</v>
      </c>
      <c r="Y13" s="9" t="n">
        <f aca="false">SUMIFS(Detail!$AA:$AA,Detail!$A:$A,$A13,Detail!$AC:$AC,"&lt;="&amp;$B$3)</f>
        <v>644</v>
      </c>
      <c r="Z13" s="9" t="n">
        <f aca="false">SUMIFS(Detail!$AA:$AA,Detail!$A:$A,$A13,Detail!$AD:$AD,"Yes")</f>
        <v>2373.5</v>
      </c>
      <c r="AA13" s="13" t="n">
        <f aca="false">IF(F13=0,"",_xlfn.MINIFS(Detail!$E$7:$E$400,Detail!$A$7:$A$400,$A13))</f>
        <v>44951</v>
      </c>
      <c r="AB13" s="14" t="s">
        <v>38</v>
      </c>
      <c r="AC13" s="15" t="s">
        <v>43</v>
      </c>
    </row>
    <row r="14" customFormat="false" ht="46.25" hidden="false" customHeight="false" outlineLevel="0" collapsed="false">
      <c r="A14" s="7" t="s">
        <v>44</v>
      </c>
      <c r="B14" s="8" t="s">
        <v>38</v>
      </c>
      <c r="C14" s="9" t="n">
        <f aca="false">SUMIFS(Detail!$H:$H,Detail!$A:$A,$A14)</f>
        <v>0</v>
      </c>
      <c r="D14" s="9" t="n">
        <f aca="false">SUMIFS('Current Month'!$F:$F,'Current Month'!$A:$A,$A14)</f>
        <v>18345</v>
      </c>
      <c r="E14" s="10" t="n">
        <f aca="false">C14+D14</f>
        <v>18345</v>
      </c>
      <c r="F14" s="11" t="n">
        <f aca="false">COUNTIFS(Detail!$A:$A,$A14,Detail!$H:$H,"&lt;&gt;")</f>
        <v>0</v>
      </c>
      <c r="G14" s="9" t="n">
        <f aca="false">SUMIFS(Detail!$H:$H,Detail!$A:$A,$A14,Detail!$L:$L,"0-1 yrs")</f>
        <v>0</v>
      </c>
      <c r="H14" s="9" t="n">
        <f aca="false">SUMIFS(Detail!$H:$H,Detail!$A:$A,$A14,Detail!$L:$L,"1-2 yrs")</f>
        <v>0</v>
      </c>
      <c r="I14" s="9" t="n">
        <f aca="false">SUMIFS(Detail!$H:$H,Detail!$A:$A,$A14,Detail!$L:$L,"2-3 yrs")</f>
        <v>0</v>
      </c>
      <c r="J14" s="9" t="n">
        <f aca="false">SUMIFS(Detail!$H:$H,Detail!$A:$A,$A14,Detail!$L:$L,"3-5 yrs")</f>
        <v>0</v>
      </c>
      <c r="K14" s="9" t="n">
        <f aca="false">SUMIFS(Detail!$H:$H,Detail!$A:$A,$A14,Detail!$L:$L,"5+ yrs")</f>
        <v>0</v>
      </c>
      <c r="L14" s="9" t="n">
        <f aca="false">SUMIFS(Detail!$H:$H,Detail!$A:$A,$A14,Detail!$N:$N,"Fee amount*")</f>
        <v>0</v>
      </c>
      <c r="M14" s="9" t="n">
        <f aca="false">SUMIFS(Detail!$H:$H,Detail!$A:$A,$A14,Detail!$N:$N,"Small amount*")</f>
        <v>0</v>
      </c>
      <c r="N14" s="9" t="n">
        <f aca="false">SUMIFS(Detail!$H:$H,Detail!$A:$A,$A14,Detail!$N:$N,"Memo flag*")</f>
        <v>0</v>
      </c>
      <c r="O14" s="9" t="n">
        <f aca="false">SUMIFS(Detail!$H:$H,Detail!$A:$A,$A14,Detail!$N:$N,"Larger amount*")</f>
        <v>0</v>
      </c>
      <c r="P14" s="12" t="n">
        <f aca="false">IFERROR(INDEX('State Rules'!$C$5:$C$11,MATCH($B14,'State Rules'!$A$5:$A$11,0)),"")</f>
        <v>1</v>
      </c>
      <c r="Q14" s="12" t="n">
        <f aca="false">IFERROR(INDEX('State Rules'!$E$5:$E$11,MATCH($B14,'State Rules'!$A$5:$A$11,0)),"")</f>
        <v>3</v>
      </c>
      <c r="R14" s="9" t="n">
        <f aca="false">SUMIFS(Detail!$H:$H,Detail!$A:$A,$A14,Detail!$P:$P,"&lt;="&amp;$B$3)</f>
        <v>0</v>
      </c>
      <c r="S14" s="9" t="n">
        <f aca="false">SUMIFS(Detail!$H:$H,Detail!$A:$A,$A14,Detail!$Q:$Q,"&lt;="&amp;$B$3)</f>
        <v>0</v>
      </c>
      <c r="T14" s="9" t="n">
        <f aca="false">SUMIFS(Detail!$AA:$AA,Detail!$A:$A,$A14,Detail!$P:$P,"&lt;="&amp;$B$3)</f>
        <v>0</v>
      </c>
      <c r="U14" s="9" t="n">
        <f aca="false">SUMIFS(Detail!$AA:$AA,Detail!$A:$A,$A14,Detail!$Q:$Q,"&lt;="&amp;$B$3)</f>
        <v>0</v>
      </c>
      <c r="V14" s="9" t="n">
        <f aca="false">SUMIFS(Detail!$AA:$AA,Detail!$A:$A,$A14,Detail!$R:$R,"Yes")</f>
        <v>0</v>
      </c>
      <c r="W14" s="9" t="n">
        <f aca="false">SUMIFS(Detail!$AA:$AA,Detail!$A:$A,$A14,Detail!$S:$S,"Yes")</f>
        <v>0</v>
      </c>
      <c r="X14" s="12" t="str">
        <f aca="false">IFERROR(INDEX('State Rules'!$M$5:$M$11,MATCH($B14,'State Rules'!$A$5:$A$11,0)),"")</f>
        <v>LONG</v>
      </c>
      <c r="Y14" s="9" t="n">
        <f aca="false">SUMIFS(Detail!$AA:$AA,Detail!$A:$A,$A14,Detail!$AC:$AC,"&lt;="&amp;$B$3)</f>
        <v>0</v>
      </c>
      <c r="Z14" s="9" t="n">
        <f aca="false">SUMIFS(Detail!$AA:$AA,Detail!$A:$A,$A14,Detail!$AD:$AD,"Yes")</f>
        <v>0</v>
      </c>
      <c r="AA14" s="13" t="str">
        <f aca="false">IF(F14=0,"",_xlfn.MINIFS(Detail!$E$7:$E$400,Detail!$A$7:$A$400,$A14))</f>
        <v/>
      </c>
      <c r="AB14" s="14" t="s">
        <v>45</v>
      </c>
      <c r="AC14" s="15" t="s">
        <v>46</v>
      </c>
    </row>
    <row r="15" customFormat="false" ht="46.25" hidden="false" customHeight="false" outlineLevel="0" collapsed="false">
      <c r="A15" s="7" t="s">
        <v>47</v>
      </c>
      <c r="B15" s="8" t="s">
        <v>38</v>
      </c>
      <c r="C15" s="9" t="n">
        <f aca="false">SUMIFS(Detail!$H:$H,Detail!$A:$A,$A15)</f>
        <v>29708.78</v>
      </c>
      <c r="D15" s="9" t="n">
        <f aca="false">SUMIFS('Current Month'!$F:$F,'Current Month'!$A:$A,$A15)</f>
        <v>49091.5</v>
      </c>
      <c r="E15" s="10" t="n">
        <f aca="false">C15+D15</f>
        <v>78800.28</v>
      </c>
      <c r="F15" s="11" t="n">
        <f aca="false">COUNTIFS(Detail!$A:$A,$A15,Detail!$H:$H,"&lt;&gt;")</f>
        <v>34</v>
      </c>
      <c r="G15" s="9" t="n">
        <f aca="false">SUMIFS(Detail!$H:$H,Detail!$A:$A,$A15,Detail!$L:$L,"0-1 yrs")</f>
        <v>8931.12</v>
      </c>
      <c r="H15" s="9" t="n">
        <f aca="false">SUMIFS(Detail!$H:$H,Detail!$A:$A,$A15,Detail!$L:$L,"1-2 yrs")</f>
        <v>10077.25</v>
      </c>
      <c r="I15" s="9" t="n">
        <f aca="false">SUMIFS(Detail!$H:$H,Detail!$A:$A,$A15,Detail!$L:$L,"2-3 yrs")</f>
        <v>10281.06</v>
      </c>
      <c r="J15" s="9" t="n">
        <f aca="false">SUMIFS(Detail!$H:$H,Detail!$A:$A,$A15,Detail!$L:$L,"3-5 yrs")</f>
        <v>419.35</v>
      </c>
      <c r="K15" s="9" t="n">
        <f aca="false">SUMIFS(Detail!$H:$H,Detail!$A:$A,$A15,Detail!$L:$L,"5+ yrs")</f>
        <v>0</v>
      </c>
      <c r="L15" s="9" t="n">
        <f aca="false">SUMIFS(Detail!$H:$H,Detail!$A:$A,$A15,Detail!$N:$N,"Fee amount*")</f>
        <v>6692</v>
      </c>
      <c r="M15" s="9" t="n">
        <f aca="false">SUMIFS(Detail!$H:$H,Detail!$A:$A,$A15,Detail!$N:$N,"Small amount*")</f>
        <v>152</v>
      </c>
      <c r="N15" s="9" t="n">
        <f aca="false">SUMIFS(Detail!$H:$H,Detail!$A:$A,$A15,Detail!$N:$N,"Memo flag*")</f>
        <v>0</v>
      </c>
      <c r="O15" s="9" t="n">
        <f aca="false">SUMIFS(Detail!$H:$H,Detail!$A:$A,$A15,Detail!$N:$N,"Larger amount*")</f>
        <v>22864.78</v>
      </c>
      <c r="P15" s="12" t="n">
        <f aca="false">IFERROR(INDEX('State Rules'!$C$5:$C$11,MATCH($B15,'State Rules'!$A$5:$A$11,0)),"")</f>
        <v>1</v>
      </c>
      <c r="Q15" s="12" t="n">
        <f aca="false">IFERROR(INDEX('State Rules'!$E$5:$E$11,MATCH($B15,'State Rules'!$A$5:$A$11,0)),"")</f>
        <v>3</v>
      </c>
      <c r="R15" s="9" t="n">
        <f aca="false">SUMIFS(Detail!$H:$H,Detail!$A:$A,$A15,Detail!$P:$P,"&lt;="&amp;$B$3)</f>
        <v>20777.66</v>
      </c>
      <c r="S15" s="9" t="n">
        <f aca="false">SUMIFS(Detail!$H:$H,Detail!$A:$A,$A15,Detail!$Q:$Q,"&lt;="&amp;$B$3)</f>
        <v>419.35</v>
      </c>
      <c r="T15" s="9" t="n">
        <f aca="false">SUMIFS(Detail!$AA:$AA,Detail!$A:$A,$A15,Detail!$P:$P,"&lt;="&amp;$B$3)</f>
        <v>15123.66</v>
      </c>
      <c r="U15" s="9" t="n">
        <f aca="false">SUMIFS(Detail!$AA:$AA,Detail!$A:$A,$A15,Detail!$Q:$Q,"&lt;="&amp;$B$3)</f>
        <v>419.35</v>
      </c>
      <c r="V15" s="9" t="n">
        <f aca="false">SUMIFS(Detail!$AA:$AA,Detail!$A:$A,$A15,Detail!$R:$R,"Yes")</f>
        <v>20270.78</v>
      </c>
      <c r="W15" s="9" t="n">
        <f aca="false">SUMIFS(Detail!$AA:$AA,Detail!$A:$A,$A15,Detail!$S:$S,"Yes")</f>
        <v>4829.35</v>
      </c>
      <c r="X15" s="12" t="str">
        <f aca="false">IFERROR(INDEX('State Rules'!$M$5:$M$11,MATCH($B15,'State Rules'!$A$5:$A$11,0)),"")</f>
        <v>LONG</v>
      </c>
      <c r="Y15" s="9" t="n">
        <f aca="false">SUMIFS(Detail!$AA:$AA,Detail!$A:$A,$A15,Detail!$AC:$AC,"&lt;="&amp;$B$3)</f>
        <v>419.35</v>
      </c>
      <c r="Z15" s="9" t="n">
        <f aca="false">SUMIFS(Detail!$AA:$AA,Detail!$A:$A,$A15,Detail!$AD:$AD,"Yes")</f>
        <v>4829.35</v>
      </c>
      <c r="AA15" s="13" t="n">
        <f aca="false">IF(F15=0,"",_xlfn.MINIFS(Detail!$E$7:$E$400,Detail!$A$7:$A$400,$A15))</f>
        <v>45175</v>
      </c>
      <c r="AB15" s="14" t="s">
        <v>48</v>
      </c>
      <c r="AC15" s="15" t="s">
        <v>49</v>
      </c>
    </row>
    <row r="16" customFormat="false" ht="23.85" hidden="false" customHeight="false" outlineLevel="0" collapsed="false">
      <c r="A16" s="7" t="s">
        <v>50</v>
      </c>
      <c r="B16" s="8" t="s">
        <v>51</v>
      </c>
      <c r="C16" s="9" t="n">
        <f aca="false">SUMIFS(Detail!$H:$H,Detail!$A:$A,$A16)</f>
        <v>4001.11</v>
      </c>
      <c r="D16" s="9" t="n">
        <f aca="false">SUMIFS('Current Month'!$F:$F,'Current Month'!$A:$A,$A16)</f>
        <v>0</v>
      </c>
      <c r="E16" s="10" t="n">
        <f aca="false">C16+D16</f>
        <v>4001.11</v>
      </c>
      <c r="F16" s="11" t="n">
        <f aca="false">COUNTIFS(Detail!$A:$A,$A16,Detail!$H:$H,"&lt;&gt;")</f>
        <v>4</v>
      </c>
      <c r="G16" s="9" t="n">
        <f aca="false">SUMIFS(Detail!$H:$H,Detail!$A:$A,$A16,Detail!$L:$L,"0-1 yrs")</f>
        <v>4001.11</v>
      </c>
      <c r="H16" s="9" t="n">
        <f aca="false">SUMIFS(Detail!$H:$H,Detail!$A:$A,$A16,Detail!$L:$L,"1-2 yrs")</f>
        <v>0</v>
      </c>
      <c r="I16" s="9" t="n">
        <f aca="false">SUMIFS(Detail!$H:$H,Detail!$A:$A,$A16,Detail!$L:$L,"2-3 yrs")</f>
        <v>0</v>
      </c>
      <c r="J16" s="9" t="n">
        <f aca="false">SUMIFS(Detail!$H:$H,Detail!$A:$A,$A16,Detail!$L:$L,"3-5 yrs")</f>
        <v>0</v>
      </c>
      <c r="K16" s="9" t="n">
        <f aca="false">SUMIFS(Detail!$H:$H,Detail!$A:$A,$A16,Detail!$L:$L,"5+ yrs")</f>
        <v>0</v>
      </c>
      <c r="L16" s="9" t="n">
        <f aca="false">SUMIFS(Detail!$H:$H,Detail!$A:$A,$A16,Detail!$N:$N,"Fee amount*")</f>
        <v>0</v>
      </c>
      <c r="M16" s="9" t="n">
        <f aca="false">SUMIFS(Detail!$H:$H,Detail!$A:$A,$A16,Detail!$N:$N,"Small amount*")</f>
        <v>0</v>
      </c>
      <c r="N16" s="9" t="n">
        <f aca="false">SUMIFS(Detail!$H:$H,Detail!$A:$A,$A16,Detail!$N:$N,"Memo flag*")</f>
        <v>0</v>
      </c>
      <c r="O16" s="9" t="n">
        <f aca="false">SUMIFS(Detail!$H:$H,Detail!$A:$A,$A16,Detail!$N:$N,"Larger amount*")</f>
        <v>4001.11</v>
      </c>
      <c r="P16" s="12" t="n">
        <f aca="false">IFERROR(INDEX('State Rules'!$C$5:$C$11,MATCH($B16,'State Rules'!$A$5:$A$11,0)),"")</f>
        <v>1</v>
      </c>
      <c r="Q16" s="12" t="n">
        <f aca="false">IFERROR(INDEX('State Rules'!$E$5:$E$11,MATCH($B16,'State Rules'!$A$5:$A$11,0)),"")</f>
        <v>3</v>
      </c>
      <c r="R16" s="9" t="n">
        <f aca="false">SUMIFS(Detail!$H:$H,Detail!$A:$A,$A16,Detail!$P:$P,"&lt;="&amp;$B$3)</f>
        <v>0</v>
      </c>
      <c r="S16" s="9" t="n">
        <f aca="false">SUMIFS(Detail!$H:$H,Detail!$A:$A,$A16,Detail!$Q:$Q,"&lt;="&amp;$B$3)</f>
        <v>0</v>
      </c>
      <c r="T16" s="9" t="n">
        <f aca="false">SUMIFS(Detail!$AA:$AA,Detail!$A:$A,$A16,Detail!$P:$P,"&lt;="&amp;$B$3)</f>
        <v>0</v>
      </c>
      <c r="U16" s="9" t="n">
        <f aca="false">SUMIFS(Detail!$AA:$AA,Detail!$A:$A,$A16,Detail!$Q:$Q,"&lt;="&amp;$B$3)</f>
        <v>0</v>
      </c>
      <c r="V16" s="9" t="n">
        <f aca="false">SUMIFS(Detail!$AA:$AA,Detail!$A:$A,$A16,Detail!$R:$R,"Yes")</f>
        <v>0</v>
      </c>
      <c r="W16" s="9" t="n">
        <f aca="false">SUMIFS(Detail!$AA:$AA,Detail!$A:$A,$A16,Detail!$S:$S,"Yes")</f>
        <v>0</v>
      </c>
      <c r="X16" s="12" t="str">
        <f aca="false">IFERROR(INDEX('State Rules'!$M$5:$M$11,MATCH($B16,'State Rules'!$A$5:$A$11,0)),"")</f>
        <v>LONG</v>
      </c>
      <c r="Y16" s="9" t="n">
        <f aca="false">SUMIFS(Detail!$AA:$AA,Detail!$A:$A,$A16,Detail!$AC:$AC,"&lt;="&amp;$B$3)</f>
        <v>0</v>
      </c>
      <c r="Z16" s="9" t="n">
        <f aca="false">SUMIFS(Detail!$AA:$AA,Detail!$A:$A,$A16,Detail!$AD:$AD,"Yes")</f>
        <v>0</v>
      </c>
      <c r="AA16" s="13" t="n">
        <f aca="false">IF(F16=0,"",_xlfn.MINIFS(Detail!$E$7:$E$400,Detail!$A$7:$A$400,$A16))</f>
        <v>46156</v>
      </c>
      <c r="AB16" s="14" t="s">
        <v>51</v>
      </c>
      <c r="AC16" s="15" t="s">
        <v>52</v>
      </c>
    </row>
    <row r="17" customFormat="false" ht="23.85" hidden="false" customHeight="false" outlineLevel="0" collapsed="false">
      <c r="A17" s="7" t="s">
        <v>53</v>
      </c>
      <c r="B17" s="8" t="s">
        <v>54</v>
      </c>
      <c r="C17" s="9" t="n">
        <f aca="false">SUMIFS(Detail!$H:$H,Detail!$A:$A,$A17)</f>
        <v>645</v>
      </c>
      <c r="D17" s="9" t="n">
        <f aca="false">SUMIFS('Current Month'!$F:$F,'Current Month'!$A:$A,$A17)</f>
        <v>31392.5</v>
      </c>
      <c r="E17" s="10" t="n">
        <f aca="false">C17+D17</f>
        <v>32037.5</v>
      </c>
      <c r="F17" s="11" t="n">
        <f aca="false">COUNTIFS(Detail!$A:$A,$A17,Detail!$H:$H,"&lt;&gt;")</f>
        <v>3</v>
      </c>
      <c r="G17" s="9" t="n">
        <f aca="false">SUMIFS(Detail!$H:$H,Detail!$A:$A,$A17,Detail!$L:$L,"0-1 yrs")</f>
        <v>645</v>
      </c>
      <c r="H17" s="9" t="n">
        <f aca="false">SUMIFS(Detail!$H:$H,Detail!$A:$A,$A17,Detail!$L:$L,"1-2 yrs")</f>
        <v>0</v>
      </c>
      <c r="I17" s="9" t="n">
        <f aca="false">SUMIFS(Detail!$H:$H,Detail!$A:$A,$A17,Detail!$L:$L,"2-3 yrs")</f>
        <v>0</v>
      </c>
      <c r="J17" s="9" t="n">
        <f aca="false">SUMIFS(Detail!$H:$H,Detail!$A:$A,$A17,Detail!$L:$L,"3-5 yrs")</f>
        <v>0</v>
      </c>
      <c r="K17" s="9" t="n">
        <f aca="false">SUMIFS(Detail!$H:$H,Detail!$A:$A,$A17,Detail!$L:$L,"5+ yrs")</f>
        <v>0</v>
      </c>
      <c r="L17" s="9" t="n">
        <f aca="false">SUMIFS(Detail!$H:$H,Detail!$A:$A,$A17,Detail!$N:$N,"Fee amount*")</f>
        <v>645</v>
      </c>
      <c r="M17" s="9" t="n">
        <f aca="false">SUMIFS(Detail!$H:$H,Detail!$A:$A,$A17,Detail!$N:$N,"Small amount*")</f>
        <v>0</v>
      </c>
      <c r="N17" s="9" t="n">
        <f aca="false">SUMIFS(Detail!$H:$H,Detail!$A:$A,$A17,Detail!$N:$N,"Memo flag*")</f>
        <v>0</v>
      </c>
      <c r="O17" s="9" t="n">
        <f aca="false">SUMIFS(Detail!$H:$H,Detail!$A:$A,$A17,Detail!$N:$N,"Larger amount*")</f>
        <v>0</v>
      </c>
      <c r="P17" s="12" t="n">
        <f aca="false">IFERROR(INDEX('State Rules'!$C$5:$C$11,MATCH($B17,'State Rules'!$A$5:$A$11,0)),"")</f>
        <v>1</v>
      </c>
      <c r="Q17" s="12" t="n">
        <f aca="false">IFERROR(INDEX('State Rules'!$E$5:$E$11,MATCH($B17,'State Rules'!$A$5:$A$11,0)),"")</f>
        <v>3</v>
      </c>
      <c r="R17" s="9" t="n">
        <f aca="false">SUMIFS(Detail!$H:$H,Detail!$A:$A,$A17,Detail!$P:$P,"&lt;="&amp;$B$3)</f>
        <v>0</v>
      </c>
      <c r="S17" s="9" t="n">
        <f aca="false">SUMIFS(Detail!$H:$H,Detail!$A:$A,$A17,Detail!$Q:$Q,"&lt;="&amp;$B$3)</f>
        <v>0</v>
      </c>
      <c r="T17" s="9" t="n">
        <f aca="false">SUMIFS(Detail!$AA:$AA,Detail!$A:$A,$A17,Detail!$P:$P,"&lt;="&amp;$B$3)</f>
        <v>0</v>
      </c>
      <c r="U17" s="9" t="n">
        <f aca="false">SUMIFS(Detail!$AA:$AA,Detail!$A:$A,$A17,Detail!$Q:$Q,"&lt;="&amp;$B$3)</f>
        <v>0</v>
      </c>
      <c r="V17" s="9" t="n">
        <f aca="false">SUMIFS(Detail!$AA:$AA,Detail!$A:$A,$A17,Detail!$R:$R,"Yes")</f>
        <v>0</v>
      </c>
      <c r="W17" s="9" t="n">
        <f aca="false">SUMIFS(Detail!$AA:$AA,Detail!$A:$A,$A17,Detail!$S:$S,"Yes")</f>
        <v>0</v>
      </c>
      <c r="X17" s="12" t="str">
        <f aca="false">IFERROR(INDEX('State Rules'!$M$5:$M$11,MATCH($B17,'State Rules'!$A$5:$A$11,0)),"")</f>
        <v>SHORT</v>
      </c>
      <c r="Y17" s="9" t="n">
        <f aca="false">SUMIFS(Detail!$AA:$AA,Detail!$A:$A,$A17,Detail!$AC:$AC,"&lt;="&amp;$B$3)</f>
        <v>0</v>
      </c>
      <c r="Z17" s="9" t="n">
        <f aca="false">SUMIFS(Detail!$AA:$AA,Detail!$A:$A,$A17,Detail!$AD:$AD,"Yes")</f>
        <v>0</v>
      </c>
      <c r="AA17" s="13" t="n">
        <f aca="false">IF(F17=0,"",_xlfn.MINIFS(Detail!$E$7:$E$400,Detail!$A$7:$A$400,$A17))</f>
        <v>46113</v>
      </c>
      <c r="AB17" s="14" t="s">
        <v>54</v>
      </c>
      <c r="AC17" s="15" t="s">
        <v>55</v>
      </c>
    </row>
    <row r="18" customFormat="false" ht="23.85" hidden="false" customHeight="false" outlineLevel="0" collapsed="false">
      <c r="A18" s="7" t="s">
        <v>56</v>
      </c>
      <c r="B18" s="8" t="s">
        <v>38</v>
      </c>
      <c r="C18" s="9" t="n">
        <f aca="false">SUMIFS(Detail!$H:$H,Detail!$A:$A,$A18)</f>
        <v>0</v>
      </c>
      <c r="D18" s="9" t="n">
        <f aca="false">SUMIFS('Current Month'!$F:$F,'Current Month'!$A:$A,$A18)</f>
        <v>0</v>
      </c>
      <c r="E18" s="10" t="n">
        <f aca="false">C18+D18</f>
        <v>0</v>
      </c>
      <c r="F18" s="11" t="n">
        <f aca="false">COUNTIFS(Detail!$A:$A,$A18,Detail!$H:$H,"&lt;&gt;")</f>
        <v>0</v>
      </c>
      <c r="G18" s="9" t="n">
        <f aca="false">SUMIFS(Detail!$H:$H,Detail!$A:$A,$A18,Detail!$L:$L,"0-1 yrs")</f>
        <v>0</v>
      </c>
      <c r="H18" s="9" t="n">
        <f aca="false">SUMIFS(Detail!$H:$H,Detail!$A:$A,$A18,Detail!$L:$L,"1-2 yrs")</f>
        <v>0</v>
      </c>
      <c r="I18" s="9" t="n">
        <f aca="false">SUMIFS(Detail!$H:$H,Detail!$A:$A,$A18,Detail!$L:$L,"2-3 yrs")</f>
        <v>0</v>
      </c>
      <c r="J18" s="9" t="n">
        <f aca="false">SUMIFS(Detail!$H:$H,Detail!$A:$A,$A18,Detail!$L:$L,"3-5 yrs")</f>
        <v>0</v>
      </c>
      <c r="K18" s="9" t="n">
        <f aca="false">SUMIFS(Detail!$H:$H,Detail!$A:$A,$A18,Detail!$L:$L,"5+ yrs")</f>
        <v>0</v>
      </c>
      <c r="L18" s="9" t="n">
        <f aca="false">SUMIFS(Detail!$H:$H,Detail!$A:$A,$A18,Detail!$N:$N,"Fee amount*")</f>
        <v>0</v>
      </c>
      <c r="M18" s="9" t="n">
        <f aca="false">SUMIFS(Detail!$H:$H,Detail!$A:$A,$A18,Detail!$N:$N,"Small amount*")</f>
        <v>0</v>
      </c>
      <c r="N18" s="9" t="n">
        <f aca="false">SUMIFS(Detail!$H:$H,Detail!$A:$A,$A18,Detail!$N:$N,"Memo flag*")</f>
        <v>0</v>
      </c>
      <c r="O18" s="9" t="n">
        <f aca="false">SUMIFS(Detail!$H:$H,Detail!$A:$A,$A18,Detail!$N:$N,"Larger amount*")</f>
        <v>0</v>
      </c>
      <c r="P18" s="12" t="n">
        <f aca="false">IFERROR(INDEX('State Rules'!$C$5:$C$11,MATCH($B18,'State Rules'!$A$5:$A$11,0)),"")</f>
        <v>1</v>
      </c>
      <c r="Q18" s="12" t="n">
        <f aca="false">IFERROR(INDEX('State Rules'!$E$5:$E$11,MATCH($B18,'State Rules'!$A$5:$A$11,0)),"")</f>
        <v>3</v>
      </c>
      <c r="R18" s="9" t="n">
        <f aca="false">SUMIFS(Detail!$H:$H,Detail!$A:$A,$A18,Detail!$P:$P,"&lt;="&amp;$B$3)</f>
        <v>0</v>
      </c>
      <c r="S18" s="9" t="n">
        <f aca="false">SUMIFS(Detail!$H:$H,Detail!$A:$A,$A18,Detail!$Q:$Q,"&lt;="&amp;$B$3)</f>
        <v>0</v>
      </c>
      <c r="T18" s="9" t="n">
        <f aca="false">SUMIFS(Detail!$AA:$AA,Detail!$A:$A,$A18,Detail!$P:$P,"&lt;="&amp;$B$3)</f>
        <v>0</v>
      </c>
      <c r="U18" s="9" t="n">
        <f aca="false">SUMIFS(Detail!$AA:$AA,Detail!$A:$A,$A18,Detail!$Q:$Q,"&lt;="&amp;$B$3)</f>
        <v>0</v>
      </c>
      <c r="V18" s="9" t="n">
        <f aca="false">SUMIFS(Detail!$AA:$AA,Detail!$A:$A,$A18,Detail!$R:$R,"Yes")</f>
        <v>0</v>
      </c>
      <c r="W18" s="9" t="n">
        <f aca="false">SUMIFS(Detail!$AA:$AA,Detail!$A:$A,$A18,Detail!$S:$S,"Yes")</f>
        <v>0</v>
      </c>
      <c r="X18" s="12" t="str">
        <f aca="false">IFERROR(INDEX('State Rules'!$M$5:$M$11,MATCH($B18,'State Rules'!$A$5:$A$11,0)),"")</f>
        <v>LONG</v>
      </c>
      <c r="Y18" s="9" t="n">
        <f aca="false">SUMIFS(Detail!$AA:$AA,Detail!$A:$A,$A18,Detail!$AC:$AC,"&lt;="&amp;$B$3)</f>
        <v>0</v>
      </c>
      <c r="Z18" s="9" t="n">
        <f aca="false">SUMIFS(Detail!$AA:$AA,Detail!$A:$A,$A18,Detail!$AD:$AD,"Yes")</f>
        <v>0</v>
      </c>
      <c r="AA18" s="13" t="str">
        <f aca="false">IF(F18=0,"",_xlfn.MINIFS(Detail!$E$7:$E$400,Detail!$A$7:$A$400,$A18))</f>
        <v/>
      </c>
      <c r="AB18" s="14" t="s">
        <v>56</v>
      </c>
      <c r="AC18" s="15" t="s">
        <v>57</v>
      </c>
    </row>
    <row r="19" customFormat="false" ht="15" hidden="false" customHeight="false" outlineLevel="0" collapsed="false">
      <c r="A19" s="16" t="s">
        <v>58</v>
      </c>
      <c r="B19" s="17"/>
      <c r="C19" s="18" t="n">
        <f aca="false">SUM(C11:C18)</f>
        <v>226764.46</v>
      </c>
      <c r="D19" s="18" t="n">
        <f aca="false">SUM(D11:D18)</f>
        <v>144542</v>
      </c>
      <c r="E19" s="18" t="n">
        <f aca="false">SUM(E11:E18)</f>
        <v>371306.46</v>
      </c>
      <c r="F19" s="16" t="n">
        <f aca="false">SUM(F11:F18)</f>
        <v>181</v>
      </c>
      <c r="G19" s="18" t="n">
        <f aca="false">SUM(G11:G18)</f>
        <v>114234.35</v>
      </c>
      <c r="H19" s="18" t="n">
        <f aca="false">SUM(H11:H18)</f>
        <v>57512.62</v>
      </c>
      <c r="I19" s="18" t="n">
        <f aca="false">SUM(I11:I18)</f>
        <v>40304.24</v>
      </c>
      <c r="J19" s="18" t="n">
        <f aca="false">SUM(J11:J18)</f>
        <v>14713.25</v>
      </c>
      <c r="K19" s="18" t="n">
        <f aca="false">SUM(K11:K18)</f>
        <v>0</v>
      </c>
      <c r="L19" s="18" t="n">
        <f aca="false">SUM(L11:L18)</f>
        <v>20825</v>
      </c>
      <c r="M19" s="18" t="n">
        <f aca="false">SUM(M11:M18)</f>
        <v>2058.33</v>
      </c>
      <c r="N19" s="18" t="n">
        <f aca="false">SUM(N11:N18)</f>
        <v>30640.63</v>
      </c>
      <c r="O19" s="18" t="n">
        <f aca="false">SUM(O11:O18)</f>
        <v>173240.5</v>
      </c>
      <c r="P19" s="17"/>
      <c r="Q19" s="17"/>
      <c r="R19" s="18" t="n">
        <f aca="false">SUM(R11:R18)</f>
        <v>112530.11</v>
      </c>
      <c r="S19" s="18" t="n">
        <f aca="false">SUM(S11:S18)</f>
        <v>14713.25</v>
      </c>
      <c r="T19" s="18" t="n">
        <f aca="false">SUM(T11:T18)</f>
        <v>94496.4</v>
      </c>
      <c r="U19" s="18" t="n">
        <f aca="false">SUM(U11:U18)</f>
        <v>13407.75</v>
      </c>
      <c r="V19" s="18" t="n">
        <f aca="false">SUM(V11:V18)</f>
        <v>106204.14</v>
      </c>
      <c r="W19" s="18" t="n">
        <f aca="false">SUM(W11:W18)</f>
        <v>21256.75</v>
      </c>
      <c r="X19" s="17"/>
      <c r="Y19" s="18" t="n">
        <f aca="false">SUM(Y11:Y18)</f>
        <v>13407.75</v>
      </c>
      <c r="Z19" s="18" t="n">
        <f aca="false">SUM(Z11:Z18)</f>
        <v>21256.75</v>
      </c>
      <c r="AA19" s="17"/>
      <c r="AB19" s="17"/>
      <c r="AC19" s="17"/>
    </row>
    <row r="21" customFormat="false" ht="15.75" hidden="false" customHeight="true" outlineLevel="0" collapsed="false">
      <c r="A21" s="19" t="s">
        <v>59</v>
      </c>
      <c r="B21" s="19"/>
      <c r="C21" s="19"/>
      <c r="D21" s="19"/>
      <c r="E21" s="19"/>
      <c r="F21" s="19"/>
      <c r="G21" s="19"/>
      <c r="H21" s="19"/>
      <c r="I21" s="19"/>
      <c r="J21" s="19"/>
      <c r="K21" s="19"/>
      <c r="L21" s="19"/>
      <c r="M21" s="19"/>
      <c r="N21" s="19"/>
      <c r="O21" s="19"/>
      <c r="P21" s="19"/>
    </row>
    <row r="22" customFormat="false" ht="51.75" hidden="false" customHeight="true" outlineLevel="0" collapsed="false">
      <c r="A22" s="2" t="s">
        <v>60</v>
      </c>
      <c r="B22" s="2"/>
      <c r="C22" s="2"/>
      <c r="D22" s="2"/>
      <c r="E22" s="2"/>
      <c r="F22" s="2"/>
      <c r="G22" s="2"/>
      <c r="H22" s="2"/>
      <c r="I22" s="2"/>
      <c r="J22" s="2"/>
      <c r="K22" s="2"/>
      <c r="L22" s="2"/>
      <c r="M22" s="2"/>
      <c r="N22" s="2"/>
      <c r="O22" s="2"/>
      <c r="P22" s="2"/>
    </row>
    <row r="23" customFormat="false" ht="51.75" hidden="false" customHeight="true" outlineLevel="0" collapsed="false">
      <c r="A23" s="2" t="s">
        <v>61</v>
      </c>
      <c r="B23" s="2"/>
      <c r="C23" s="2"/>
      <c r="D23" s="2"/>
      <c r="E23" s="2"/>
      <c r="F23" s="2"/>
      <c r="G23" s="2"/>
      <c r="H23" s="2"/>
      <c r="I23" s="2"/>
      <c r="J23" s="2"/>
      <c r="K23" s="2"/>
      <c r="L23" s="2"/>
      <c r="M23" s="2"/>
      <c r="N23" s="2"/>
      <c r="O23" s="2"/>
      <c r="P23" s="2"/>
    </row>
    <row r="24" customFormat="false" ht="51.75" hidden="false" customHeight="true" outlineLevel="0" collapsed="false">
      <c r="A24" s="2" t="s">
        <v>62</v>
      </c>
      <c r="B24" s="2"/>
      <c r="C24" s="2"/>
      <c r="D24" s="2"/>
      <c r="E24" s="2"/>
      <c r="F24" s="2"/>
      <c r="G24" s="2"/>
      <c r="H24" s="2"/>
      <c r="I24" s="2"/>
      <c r="J24" s="2"/>
      <c r="K24" s="2"/>
      <c r="L24" s="2"/>
      <c r="M24" s="2"/>
      <c r="N24" s="2"/>
      <c r="O24" s="2"/>
      <c r="P24" s="2"/>
    </row>
    <row r="25" customFormat="false" ht="51.75" hidden="false" customHeight="true" outlineLevel="0" collapsed="false">
      <c r="A25" s="2" t="s">
        <v>63</v>
      </c>
      <c r="B25" s="2"/>
      <c r="C25" s="2"/>
      <c r="D25" s="2"/>
      <c r="E25" s="2"/>
      <c r="F25" s="2"/>
      <c r="G25" s="2"/>
      <c r="H25" s="2"/>
      <c r="I25" s="2"/>
      <c r="J25" s="2"/>
      <c r="K25" s="2"/>
      <c r="L25" s="2"/>
      <c r="M25" s="2"/>
      <c r="N25" s="2"/>
      <c r="O25" s="2"/>
      <c r="P25" s="2"/>
    </row>
    <row r="26" customFormat="false" ht="51.75" hidden="false" customHeight="true" outlineLevel="0" collapsed="false">
      <c r="A26" s="2" t="s">
        <v>64</v>
      </c>
      <c r="B26" s="2"/>
      <c r="C26" s="2"/>
      <c r="D26" s="2"/>
      <c r="E26" s="2"/>
      <c r="F26" s="2"/>
      <c r="G26" s="2"/>
      <c r="H26" s="2"/>
      <c r="I26" s="2"/>
      <c r="J26" s="2"/>
      <c r="K26" s="2"/>
      <c r="L26" s="2"/>
      <c r="M26" s="2"/>
      <c r="N26" s="2"/>
      <c r="O26" s="2"/>
      <c r="P26" s="2"/>
    </row>
    <row r="27" customFormat="false" ht="51.75" hidden="false" customHeight="true" outlineLevel="0" collapsed="false">
      <c r="A27" s="2" t="s">
        <v>65</v>
      </c>
      <c r="B27" s="2"/>
      <c r="C27" s="2"/>
      <c r="D27" s="2"/>
      <c r="E27" s="2"/>
      <c r="F27" s="2"/>
      <c r="G27" s="2"/>
      <c r="H27" s="2"/>
      <c r="I27" s="2"/>
      <c r="J27" s="2"/>
      <c r="K27" s="2"/>
      <c r="L27" s="2"/>
      <c r="M27" s="2"/>
      <c r="N27" s="2"/>
      <c r="O27" s="2"/>
      <c r="P27" s="2"/>
    </row>
  </sheetData>
  <mergeCells count="8">
    <mergeCell ref="A2:AC2"/>
    <mergeCell ref="A21:P21"/>
    <mergeCell ref="A22:P22"/>
    <mergeCell ref="A23:P23"/>
    <mergeCell ref="A24:P24"/>
    <mergeCell ref="A25:P25"/>
    <mergeCell ref="A26:P26"/>
    <mergeCell ref="A27:P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1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13"/>
    <col collapsed="false" customWidth="true" hidden="false" outlineLevel="0" max="4" min="4" style="0" width="8"/>
    <col collapsed="false" customWidth="true" hidden="false" outlineLevel="0" max="5" min="5" style="0" width="11"/>
    <col collapsed="false" customWidth="true" hidden="false" outlineLevel="0" max="6" min="6" style="0" width="14"/>
    <col collapsed="false" customWidth="true" hidden="false" outlineLevel="0" max="7" min="7" style="0" width="32"/>
    <col collapsed="false" customWidth="true" hidden="false" outlineLevel="0" max="8" min="8" style="0" width="12"/>
    <col collapsed="false" customWidth="true" hidden="false" outlineLevel="0" max="9" min="9" style="0" width="55"/>
    <col collapsed="false" customWidth="true" hidden="false" outlineLevel="0" max="11" min="10" style="0" width="8"/>
    <col collapsed="false" customWidth="true" hidden="false" outlineLevel="0" max="12" min="12" style="0" width="9"/>
    <col collapsed="false" customWidth="true" hidden="false" outlineLevel="0" max="13" min="13" style="0" width="8"/>
    <col collapsed="false" customWidth="true" hidden="false" outlineLevel="0" max="14" min="14" style="0" width="38"/>
    <col collapsed="false" customWidth="true" hidden="false" outlineLevel="0" max="15" min="15" style="0" width="8"/>
    <col collapsed="false" customWidth="true" hidden="false" outlineLevel="0" max="17" min="16" style="0" width="12"/>
    <col collapsed="false" customWidth="true" hidden="false" outlineLevel="0" max="19" min="18" style="0" width="11"/>
    <col collapsed="false" customWidth="true" hidden="false" outlineLevel="0" max="20" min="20" style="0" width="22"/>
    <col collapsed="false" customWidth="true" hidden="false" outlineLevel="0" max="21" min="21" style="0" width="10"/>
    <col collapsed="false" customWidth="true" hidden="false" outlineLevel="0" max="24" min="22" style="0" width="13"/>
    <col collapsed="false" customWidth="true" hidden="false" outlineLevel="0" max="25" min="25" style="0" width="28"/>
    <col collapsed="false" customWidth="true" hidden="false" outlineLevel="0" max="27" min="26" style="0" width="16"/>
    <col collapsed="false" customWidth="true" hidden="false" outlineLevel="0" max="28" min="28" style="0" width="10"/>
    <col collapsed="false" customWidth="true" hidden="false" outlineLevel="0" max="29" min="29" style="0" width="12"/>
    <col collapsed="false" customWidth="true" hidden="false" outlineLevel="0" max="30" min="30" style="0" width="11"/>
  </cols>
  <sheetData>
    <row r="1" customFormat="false" ht="17.35" hidden="false" customHeight="false" outlineLevel="0" collapsed="false">
      <c r="A1" s="1" t="s">
        <v>66</v>
      </c>
    </row>
    <row r="2" customFormat="false" ht="31.5" hidden="false" customHeight="true" outlineLevel="0" collapsed="false">
      <c r="A2" s="2" t="s">
        <v>67</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customFormat="false" ht="31.5" hidden="false" customHeight="true" outlineLevel="0" collapsed="false">
      <c r="A3" s="2" t="s">
        <v>68</v>
      </c>
      <c r="B3" s="2"/>
      <c r="C3" s="2"/>
      <c r="D3" s="2"/>
      <c r="E3" s="2"/>
      <c r="F3" s="2"/>
      <c r="G3" s="2"/>
      <c r="H3" s="2"/>
      <c r="I3" s="2"/>
      <c r="J3" s="2"/>
      <c r="K3" s="2"/>
      <c r="L3" s="2"/>
      <c r="M3" s="2"/>
      <c r="N3" s="2"/>
      <c r="O3" s="2"/>
      <c r="P3" s="2"/>
      <c r="Q3" s="2"/>
      <c r="R3" s="2"/>
      <c r="S3" s="2"/>
      <c r="T3" s="2"/>
      <c r="U3" s="2"/>
      <c r="V3" s="2"/>
      <c r="W3" s="2"/>
      <c r="X3" s="2"/>
      <c r="Y3" s="2"/>
      <c r="Z3" s="2"/>
      <c r="AA3" s="2"/>
      <c r="AB3" s="2"/>
      <c r="AC3" s="2"/>
      <c r="AD3" s="2"/>
    </row>
    <row r="4" customFormat="false" ht="15" hidden="false" customHeight="false" outlineLevel="0" collapsed="false">
      <c r="A4" s="20" t="s">
        <v>69</v>
      </c>
      <c r="B4" s="21" t="n">
        <f aca="false">Summary!$B$3</f>
        <v>46301</v>
      </c>
    </row>
    <row r="6" customFormat="false" ht="55.5" hidden="false" customHeight="true" outlineLevel="0" collapsed="false">
      <c r="A6" s="6" t="s">
        <v>8</v>
      </c>
      <c r="B6" s="6" t="s">
        <v>70</v>
      </c>
      <c r="C6" s="6" t="s">
        <v>71</v>
      </c>
      <c r="D6" s="6" t="s">
        <v>72</v>
      </c>
      <c r="E6" s="6" t="s">
        <v>73</v>
      </c>
      <c r="F6" s="6" t="s">
        <v>74</v>
      </c>
      <c r="G6" s="6" t="s">
        <v>75</v>
      </c>
      <c r="H6" s="6" t="s">
        <v>76</v>
      </c>
      <c r="I6" s="6" t="s">
        <v>77</v>
      </c>
      <c r="J6" s="6" t="s">
        <v>78</v>
      </c>
      <c r="K6" s="6" t="s">
        <v>79</v>
      </c>
      <c r="L6" s="6" t="s">
        <v>80</v>
      </c>
      <c r="M6" s="6" t="s">
        <v>81</v>
      </c>
      <c r="N6" s="6" t="s">
        <v>82</v>
      </c>
      <c r="O6" s="6" t="s">
        <v>23</v>
      </c>
      <c r="P6" s="6" t="s">
        <v>83</v>
      </c>
      <c r="Q6" s="6" t="s">
        <v>84</v>
      </c>
      <c r="R6" s="6" t="s">
        <v>85</v>
      </c>
      <c r="S6" s="6" t="s">
        <v>86</v>
      </c>
      <c r="T6" s="6" t="s">
        <v>87</v>
      </c>
      <c r="U6" s="6" t="s">
        <v>88</v>
      </c>
      <c r="V6" s="6" t="s">
        <v>89</v>
      </c>
      <c r="W6" s="6" t="s">
        <v>90</v>
      </c>
      <c r="X6" s="6" t="s">
        <v>91</v>
      </c>
      <c r="Y6" s="6" t="s">
        <v>92</v>
      </c>
      <c r="Z6" s="6" t="s">
        <v>93</v>
      </c>
      <c r="AA6" s="6" t="s">
        <v>94</v>
      </c>
      <c r="AB6" s="6" t="s">
        <v>95</v>
      </c>
      <c r="AC6" s="6" t="s">
        <v>96</v>
      </c>
      <c r="AD6" s="6" t="s">
        <v>97</v>
      </c>
    </row>
    <row r="7" customFormat="false" ht="15" hidden="false" customHeight="false" outlineLevel="0" collapsed="false">
      <c r="A7" s="11" t="s">
        <v>37</v>
      </c>
      <c r="B7" s="12" t="str">
        <f aca="false">IF(U7&lt;&gt;"",U7,IFERROR(INDEX(Summary!$B$11:$B$18,MATCH($A7,Summary!$A$11:$A$18,0)),""))</f>
        <v>TX</v>
      </c>
      <c r="C7" s="11" t="s">
        <v>37</v>
      </c>
      <c r="D7" s="11" t="n">
        <v>21</v>
      </c>
      <c r="E7" s="22" t="n">
        <v>44988</v>
      </c>
      <c r="F7" s="11" t="s">
        <v>98</v>
      </c>
      <c r="G7" s="11" t="s">
        <v>99</v>
      </c>
      <c r="H7" s="10" t="n">
        <v>1097.5</v>
      </c>
      <c r="I7" s="11" t="s">
        <v>100</v>
      </c>
      <c r="J7" s="11" t="s">
        <v>101</v>
      </c>
      <c r="K7" s="23" t="n">
        <f aca="false">IF(E7="","",($B$4-E7)/365.25)</f>
        <v>3.59479808350445</v>
      </c>
      <c r="L7" s="11" t="str">
        <f aca="false">IF(K7="","no date",IF(K7&lt;1,"0-1 yrs",IF(K7&lt;2,"1-2 yrs",IF(K7&lt;3,"2-3 yrs",IF(K7&lt;5,"3-5 yrs","5+ yrs")))))</f>
        <v>3-5 yrs</v>
      </c>
      <c r="M7" s="11" t="s">
        <v>101</v>
      </c>
      <c r="N7" s="12" t="str">
        <f aca="false">IF(M7="Yes","Memo flag - not ours / unknown / hold: resolve",IF(OR(COUNTIF(Summary!$C$4:$R$4,H7)&gt;0,AND(A7="Philly",COUNTIF(Summary!$C$5:$R$5,H7)&gt;0),AND(A7="TUR",COUNTIF(Summary!$C$6:$R$6,H7)&gt;0),AND(A7="Leading Edge",COUNTIF(Summary!$C$7:$R$7,H7)&gt;0)),"Fee amount - presumed company revenue",IF(H7&lt;=Summary!$B$8,"Small amount - likely fee, review","Larger amount - likely includes agent commission")))</f>
        <v>Larger amount - likely includes agent commission</v>
      </c>
      <c r="O7" s="12" t="n">
        <f aca="false">IFERROR(INDEX('State Rules'!$C$5:$C$11,MATCH($B7,'State Rules'!$A$5:$A$11,0)),"")</f>
        <v>1</v>
      </c>
      <c r="P7" s="22" t="n">
        <f aca="false">IF(OR(O7="",E7=""),"",EDATE(E7,12*O7))</f>
        <v>45354</v>
      </c>
      <c r="Q7" s="22" t="n">
        <f aca="false">IF(E7="","",IFERROR(EDATE(E7,12*INDEX('State Rules'!$E$5:$E$11,MATCH($B7,'State Rules'!$A$5:$A$11,0))),""))</f>
        <v>46084</v>
      </c>
      <c r="R7" s="11" t="str">
        <f aca="false">IF(P7="","",IFERROR(IF(P7&lt;=INDEX('State Rules'!$I$5:$I$11,MATCH($B7,'State Rules'!$A$5:$A$11,0)),"Yes","No"),""))</f>
        <v>Yes</v>
      </c>
      <c r="S7" s="11" t="str">
        <f aca="false">IF(Q7="","",IFERROR(IF(Q7&lt;=INDEX('State Rules'!$I$5:$I$11,MATCH($B7,'State Rules'!$A$5:$A$11,0)),"Yes","No"),""))</f>
        <v>Yes</v>
      </c>
      <c r="T7" s="8"/>
      <c r="U7" s="8"/>
      <c r="V7" s="24"/>
      <c r="W7" s="24"/>
      <c r="X7" s="24"/>
      <c r="Y7" s="8"/>
      <c r="Z7" s="10" t="n">
        <f aca="false">IF(Q7="","",IF(Q7&lt;=$B$4,N(W7)+N(X7),0))</f>
        <v>0</v>
      </c>
      <c r="AA7" s="10" t="n">
        <f aca="false">IF(OR(LEFT(N7,6)="Larger",LEFT(N7,4)="Memo"),H7,0)</f>
        <v>1097.5</v>
      </c>
      <c r="AB7" s="12" t="str">
        <f aca="false">IFERROR(INDEX('State Rules'!$M$5:$M$11,MATCH($B7,'State Rules'!$A$5:$A$11,0)),"")</f>
        <v>LONG</v>
      </c>
      <c r="AC7" s="22" t="n">
        <f aca="false">IF(AB7="SHORT",P7,IF(AB7="LONG",Q7,""))</f>
        <v>46084</v>
      </c>
      <c r="AD7" s="11" t="str">
        <f aca="false">IF(AB7="SHORT",R7,IF(AB7="LONG",S7,""))</f>
        <v>Yes</v>
      </c>
    </row>
    <row r="8" customFormat="false" ht="15" hidden="false" customHeight="false" outlineLevel="0" collapsed="false">
      <c r="A8" s="11" t="s">
        <v>37</v>
      </c>
      <c r="B8" s="12" t="str">
        <f aca="false">IF(U8&lt;&gt;"",U8,IFERROR(INDEX(Summary!$B$11:$B$18,MATCH($A8,Summary!$A$11:$A$18,0)),""))</f>
        <v>TX</v>
      </c>
      <c r="C8" s="11" t="s">
        <v>37</v>
      </c>
      <c r="D8" s="11" t="n">
        <v>22</v>
      </c>
      <c r="E8" s="22" t="n">
        <v>45035</v>
      </c>
      <c r="F8" s="11" t="s">
        <v>102</v>
      </c>
      <c r="G8" s="11" t="s">
        <v>103</v>
      </c>
      <c r="H8" s="10" t="n">
        <v>444</v>
      </c>
      <c r="I8" s="11" t="s">
        <v>104</v>
      </c>
      <c r="J8" s="11" t="s">
        <v>101</v>
      </c>
      <c r="K8" s="23" t="n">
        <f aca="false">IF(E8="","",($B$4-E8)/365.25)</f>
        <v>3.46611909650924</v>
      </c>
      <c r="L8" s="11" t="str">
        <f aca="false">IF(K8="","no date",IF(K8&lt;1,"0-1 yrs",IF(K8&lt;2,"1-2 yrs",IF(K8&lt;3,"2-3 yrs",IF(K8&lt;5,"3-5 yrs","5+ yrs")))))</f>
        <v>3-5 yrs</v>
      </c>
      <c r="M8" s="11" t="s">
        <v>101</v>
      </c>
      <c r="N8" s="12" t="str">
        <f aca="false">IF(M8="Yes","Memo flag - not ours / unknown / hold: resolve",IF(OR(COUNTIF(Summary!$C$4:$R$4,H8)&gt;0,AND(A8="Philly",COUNTIF(Summary!$C$5:$R$5,H8)&gt;0),AND(A8="TUR",COUNTIF(Summary!$C$6:$R$6,H8)&gt;0),AND(A8="Leading Edge",COUNTIF(Summary!$C$7:$R$7,H8)&gt;0)),"Fee amount - presumed company revenue",IF(H8&lt;=Summary!$B$8,"Small amount - likely fee, review","Larger amount - likely includes agent commission")))</f>
        <v>Larger amount - likely includes agent commission</v>
      </c>
      <c r="O8" s="12" t="n">
        <f aca="false">IFERROR(INDEX('State Rules'!$C$5:$C$11,MATCH($B8,'State Rules'!$A$5:$A$11,0)),"")</f>
        <v>1</v>
      </c>
      <c r="P8" s="22" t="n">
        <f aca="false">IF(OR(O8="",E8=""),"",EDATE(E8,12*O8))</f>
        <v>45401</v>
      </c>
      <c r="Q8" s="22" t="n">
        <f aca="false">IF(E8="","",IFERROR(EDATE(E8,12*INDEX('State Rules'!$E$5:$E$11,MATCH($B8,'State Rules'!$A$5:$A$11,0))),""))</f>
        <v>46131</v>
      </c>
      <c r="R8" s="11" t="str">
        <f aca="false">IF(P8="","",IFERROR(IF(P8&lt;=INDEX('State Rules'!$I$5:$I$11,MATCH($B8,'State Rules'!$A$5:$A$11,0)),"Yes","No"),""))</f>
        <v>Yes</v>
      </c>
      <c r="S8" s="11" t="str">
        <f aca="false">IF(Q8="","",IFERROR(IF(Q8&lt;=INDEX('State Rules'!$I$5:$I$11,MATCH($B8,'State Rules'!$A$5:$A$11,0)),"Yes","No"),""))</f>
        <v>Yes</v>
      </c>
      <c r="T8" s="8"/>
      <c r="U8" s="8"/>
      <c r="V8" s="24"/>
      <c r="W8" s="24"/>
      <c r="X8" s="24"/>
      <c r="Y8" s="8"/>
      <c r="Z8" s="10" t="n">
        <f aca="false">IF(Q8="","",IF(Q8&lt;=$B$4,N(W8)+N(X8),0))</f>
        <v>0</v>
      </c>
      <c r="AA8" s="10" t="n">
        <f aca="false">IF(OR(LEFT(N8,6)="Larger",LEFT(N8,4)="Memo"),H8,0)</f>
        <v>444</v>
      </c>
      <c r="AB8" s="12" t="str">
        <f aca="false">IFERROR(INDEX('State Rules'!$M$5:$M$11,MATCH($B8,'State Rules'!$A$5:$A$11,0)),"")</f>
        <v>LONG</v>
      </c>
      <c r="AC8" s="22" t="n">
        <f aca="false">IF(AB8="SHORT",P8,IF(AB8="LONG",Q8,""))</f>
        <v>46131</v>
      </c>
      <c r="AD8" s="11" t="str">
        <f aca="false">IF(AB8="SHORT",R8,IF(AB8="LONG",S8,""))</f>
        <v>Yes</v>
      </c>
    </row>
    <row r="9" customFormat="false" ht="15" hidden="false" customHeight="false" outlineLevel="0" collapsed="false">
      <c r="A9" s="11" t="s">
        <v>37</v>
      </c>
      <c r="B9" s="12" t="str">
        <f aca="false">IF(U9&lt;&gt;"",U9,IFERROR(INDEX(Summary!$B$11:$B$18,MATCH($A9,Summary!$A$11:$A$18,0)),""))</f>
        <v>TX</v>
      </c>
      <c r="C9" s="11" t="s">
        <v>37</v>
      </c>
      <c r="D9" s="11" t="n">
        <v>23</v>
      </c>
      <c r="E9" s="22" t="n">
        <v>45051</v>
      </c>
      <c r="F9" s="11" t="s">
        <v>105</v>
      </c>
      <c r="G9" s="11" t="s">
        <v>106</v>
      </c>
      <c r="H9" s="10" t="n">
        <v>2147.5</v>
      </c>
      <c r="I9" s="11"/>
      <c r="J9" s="11" t="s">
        <v>101</v>
      </c>
      <c r="K9" s="23" t="n">
        <f aca="false">IF(E9="","",($B$4-E9)/365.25)</f>
        <v>3.42231348391513</v>
      </c>
      <c r="L9" s="11" t="str">
        <f aca="false">IF(K9="","no date",IF(K9&lt;1,"0-1 yrs",IF(K9&lt;2,"1-2 yrs",IF(K9&lt;3,"2-3 yrs",IF(K9&lt;5,"3-5 yrs","5+ yrs")))))</f>
        <v>3-5 yrs</v>
      </c>
      <c r="M9" s="11" t="s">
        <v>101</v>
      </c>
      <c r="N9" s="12" t="str">
        <f aca="false">IF(M9="Yes","Memo flag - not ours / unknown / hold: resolve",IF(OR(COUNTIF(Summary!$C$4:$R$4,H9)&gt;0,AND(A9="Philly",COUNTIF(Summary!$C$5:$R$5,H9)&gt;0),AND(A9="TUR",COUNTIF(Summary!$C$6:$R$6,H9)&gt;0),AND(A9="Leading Edge",COUNTIF(Summary!$C$7:$R$7,H9)&gt;0)),"Fee amount - presumed company revenue",IF(H9&lt;=Summary!$B$8,"Small amount - likely fee, review","Larger amount - likely includes agent commission")))</f>
        <v>Larger amount - likely includes agent commission</v>
      </c>
      <c r="O9" s="12" t="n">
        <f aca="false">IFERROR(INDEX('State Rules'!$C$5:$C$11,MATCH($B9,'State Rules'!$A$5:$A$11,0)),"")</f>
        <v>1</v>
      </c>
      <c r="P9" s="22" t="n">
        <f aca="false">IF(OR(O9="",E9=""),"",EDATE(E9,12*O9))</f>
        <v>45417</v>
      </c>
      <c r="Q9" s="22" t="n">
        <f aca="false">IF(E9="","",IFERROR(EDATE(E9,12*INDEX('State Rules'!$E$5:$E$11,MATCH($B9,'State Rules'!$A$5:$A$11,0))),""))</f>
        <v>46147</v>
      </c>
      <c r="R9" s="11" t="str">
        <f aca="false">IF(P9="","",IFERROR(IF(P9&lt;=INDEX('State Rules'!$I$5:$I$11,MATCH($B9,'State Rules'!$A$5:$A$11,0)),"Yes","No"),""))</f>
        <v>Yes</v>
      </c>
      <c r="S9" s="11" t="str">
        <f aca="false">IF(Q9="","",IFERROR(IF(Q9&lt;=INDEX('State Rules'!$I$5:$I$11,MATCH($B9,'State Rules'!$A$5:$A$11,0)),"Yes","No"),""))</f>
        <v>Yes</v>
      </c>
      <c r="T9" s="8"/>
      <c r="U9" s="8"/>
      <c r="V9" s="24"/>
      <c r="W9" s="24"/>
      <c r="X9" s="24"/>
      <c r="Y9" s="8"/>
      <c r="Z9" s="10" t="n">
        <f aca="false">IF(Q9="","",IF(Q9&lt;=$B$4,N(W9)+N(X9),0))</f>
        <v>0</v>
      </c>
      <c r="AA9" s="10" t="n">
        <f aca="false">IF(OR(LEFT(N9,6)="Larger",LEFT(N9,4)="Memo"),H9,0)</f>
        <v>2147.5</v>
      </c>
      <c r="AB9" s="12" t="str">
        <f aca="false">IFERROR(INDEX('State Rules'!$M$5:$M$11,MATCH($B9,'State Rules'!$A$5:$A$11,0)),"")</f>
        <v>LONG</v>
      </c>
      <c r="AC9" s="22" t="n">
        <f aca="false">IF(AB9="SHORT",P9,IF(AB9="LONG",Q9,""))</f>
        <v>46147</v>
      </c>
      <c r="AD9" s="11" t="str">
        <f aca="false">IF(AB9="SHORT",R9,IF(AB9="LONG",S9,""))</f>
        <v>Yes</v>
      </c>
    </row>
    <row r="10" customFormat="false" ht="15" hidden="false" customHeight="false" outlineLevel="0" collapsed="false">
      <c r="A10" s="11" t="s">
        <v>37</v>
      </c>
      <c r="B10" s="12" t="str">
        <f aca="false">IF(U10&lt;&gt;"",U10,IFERROR(INDEX(Summary!$B$11:$B$18,MATCH($A10,Summary!$A$11:$A$18,0)),""))</f>
        <v>TX</v>
      </c>
      <c r="C10" s="11" t="s">
        <v>37</v>
      </c>
      <c r="D10" s="11" t="n">
        <v>24</v>
      </c>
      <c r="E10" s="22" t="n">
        <v>45071</v>
      </c>
      <c r="F10" s="11" t="s">
        <v>107</v>
      </c>
      <c r="G10" s="11" t="s">
        <v>108</v>
      </c>
      <c r="H10" s="10" t="n">
        <v>694.68</v>
      </c>
      <c r="I10" s="11"/>
      <c r="J10" s="11" t="s">
        <v>101</v>
      </c>
      <c r="K10" s="23" t="n">
        <f aca="false">IF(E10="","",($B$4-E10)/365.25)</f>
        <v>3.36755646817248</v>
      </c>
      <c r="L10" s="11" t="str">
        <f aca="false">IF(K10="","no date",IF(K10&lt;1,"0-1 yrs",IF(K10&lt;2,"1-2 yrs",IF(K10&lt;3,"2-3 yrs",IF(K10&lt;5,"3-5 yrs","5+ yrs")))))</f>
        <v>3-5 yrs</v>
      </c>
      <c r="M10" s="11" t="s">
        <v>101</v>
      </c>
      <c r="N10" s="12" t="str">
        <f aca="false">IF(M10="Yes","Memo flag - not ours / unknown / hold: resolve",IF(OR(COUNTIF(Summary!$C$4:$R$4,H10)&gt;0,AND(A10="Philly",COUNTIF(Summary!$C$5:$R$5,H10)&gt;0),AND(A10="TUR",COUNTIF(Summary!$C$6:$R$6,H10)&gt;0),AND(A10="Leading Edge",COUNTIF(Summary!$C$7:$R$7,H10)&gt;0)),"Fee amount - presumed company revenue",IF(H10&lt;=Summary!$B$8,"Small amount - likely fee, review","Larger amount - likely includes agent commission")))</f>
        <v>Larger amount - likely includes agent commission</v>
      </c>
      <c r="O10" s="12" t="n">
        <f aca="false">IFERROR(INDEX('State Rules'!$C$5:$C$11,MATCH($B10,'State Rules'!$A$5:$A$11,0)),"")</f>
        <v>1</v>
      </c>
      <c r="P10" s="22" t="n">
        <f aca="false">IF(OR(O10="",E10=""),"",EDATE(E10,12*O10))</f>
        <v>45437</v>
      </c>
      <c r="Q10" s="22" t="n">
        <f aca="false">IF(E10="","",IFERROR(EDATE(E10,12*INDEX('State Rules'!$E$5:$E$11,MATCH($B10,'State Rules'!$A$5:$A$11,0))),""))</f>
        <v>46167</v>
      </c>
      <c r="R10" s="11" t="str">
        <f aca="false">IF(P10="","",IFERROR(IF(P10&lt;=INDEX('State Rules'!$I$5:$I$11,MATCH($B10,'State Rules'!$A$5:$A$11,0)),"Yes","No"),""))</f>
        <v>Yes</v>
      </c>
      <c r="S10" s="11" t="str">
        <f aca="false">IF(Q10="","",IFERROR(IF(Q10&lt;=INDEX('State Rules'!$I$5:$I$11,MATCH($B10,'State Rules'!$A$5:$A$11,0)),"Yes","No"),""))</f>
        <v>Yes</v>
      </c>
      <c r="T10" s="8"/>
      <c r="U10" s="8"/>
      <c r="V10" s="24"/>
      <c r="W10" s="24"/>
      <c r="X10" s="24"/>
      <c r="Y10" s="8"/>
      <c r="Z10" s="10" t="n">
        <f aca="false">IF(Q10="","",IF(Q10&lt;=$B$4,N(W10)+N(X10),0))</f>
        <v>0</v>
      </c>
      <c r="AA10" s="10" t="n">
        <f aca="false">IF(OR(LEFT(N10,6)="Larger",LEFT(N10,4)="Memo"),H10,0)</f>
        <v>694.68</v>
      </c>
      <c r="AB10" s="12" t="str">
        <f aca="false">IFERROR(INDEX('State Rules'!$M$5:$M$11,MATCH($B10,'State Rules'!$A$5:$A$11,0)),"")</f>
        <v>LONG</v>
      </c>
      <c r="AC10" s="22" t="n">
        <f aca="false">IF(AB10="SHORT",P10,IF(AB10="LONG",Q10,""))</f>
        <v>46167</v>
      </c>
      <c r="AD10" s="11" t="str">
        <f aca="false">IF(AB10="SHORT",R10,IF(AB10="LONG",S10,""))</f>
        <v>Yes</v>
      </c>
    </row>
    <row r="11" customFormat="false" ht="15" hidden="false" customHeight="false" outlineLevel="0" collapsed="false">
      <c r="A11" s="11" t="s">
        <v>37</v>
      </c>
      <c r="B11" s="12" t="str">
        <f aca="false">IF(U11&lt;&gt;"",U11,IFERROR(INDEX(Summary!$B$11:$B$18,MATCH($A11,Summary!$A$11:$A$18,0)),""))</f>
        <v>TX</v>
      </c>
      <c r="C11" s="11" t="s">
        <v>37</v>
      </c>
      <c r="D11" s="11" t="n">
        <v>25</v>
      </c>
      <c r="E11" s="22" t="n">
        <v>45106</v>
      </c>
      <c r="F11" s="11" t="s">
        <v>109</v>
      </c>
      <c r="G11" s="11" t="s">
        <v>110</v>
      </c>
      <c r="H11" s="10" t="n">
        <v>500</v>
      </c>
      <c r="I11" s="11" t="s">
        <v>111</v>
      </c>
      <c r="J11" s="11" t="s">
        <v>101</v>
      </c>
      <c r="K11" s="23" t="n">
        <f aca="false">IF(E11="","",($B$4-E11)/365.25)</f>
        <v>3.27173169062286</v>
      </c>
      <c r="L11" s="11" t="str">
        <f aca="false">IF(K11="","no date",IF(K11&lt;1,"0-1 yrs",IF(K11&lt;2,"1-2 yrs",IF(K11&lt;3,"2-3 yrs",IF(K11&lt;5,"3-5 yrs","5+ yrs")))))</f>
        <v>3-5 yrs</v>
      </c>
      <c r="M11" s="25" t="s">
        <v>112</v>
      </c>
      <c r="N11" s="12" t="str">
        <f aca="false">IF(M11="Yes","Memo flag - not ours / unknown / hold: resolve",IF(OR(COUNTIF(Summary!$C$4:$R$4,H11)&gt;0,AND(A11="Philly",COUNTIF(Summary!$C$5:$R$5,H11)&gt;0),AND(A11="TUR",COUNTIF(Summary!$C$6:$R$6,H11)&gt;0),AND(A11="Leading Edge",COUNTIF(Summary!$C$7:$R$7,H11)&gt;0)),"Fee amount - presumed company revenue",IF(H11&lt;=Summary!$B$8,"Small amount - likely fee, review","Larger amount - likely includes agent commission")))</f>
        <v>Memo flag - not ours / unknown / hold: resolve</v>
      </c>
      <c r="O11" s="12" t="n">
        <f aca="false">IFERROR(INDEX('State Rules'!$C$5:$C$11,MATCH($B11,'State Rules'!$A$5:$A$11,0)),"")</f>
        <v>1</v>
      </c>
      <c r="P11" s="22" t="n">
        <f aca="false">IF(OR(O11="",E11=""),"",EDATE(E11,12*O11))</f>
        <v>45472</v>
      </c>
      <c r="Q11" s="22" t="n">
        <f aca="false">IF(E11="","",IFERROR(EDATE(E11,12*INDEX('State Rules'!$E$5:$E$11,MATCH($B11,'State Rules'!$A$5:$A$11,0))),""))</f>
        <v>46202</v>
      </c>
      <c r="R11" s="11" t="str">
        <f aca="false">IF(P11="","",IFERROR(IF(P11&lt;=INDEX('State Rules'!$I$5:$I$11,MATCH($B11,'State Rules'!$A$5:$A$11,0)),"Yes","No"),""))</f>
        <v>Yes</v>
      </c>
      <c r="S11" s="11" t="str">
        <f aca="false">IF(Q11="","",IFERROR(IF(Q11&lt;=INDEX('State Rules'!$I$5:$I$11,MATCH($B11,'State Rules'!$A$5:$A$11,0)),"Yes","No"),""))</f>
        <v>Yes</v>
      </c>
      <c r="T11" s="8"/>
      <c r="U11" s="8"/>
      <c r="V11" s="24"/>
      <c r="W11" s="24"/>
      <c r="X11" s="24"/>
      <c r="Y11" s="8"/>
      <c r="Z11" s="10" t="n">
        <f aca="false">IF(Q11="","",IF(Q11&lt;=$B$4,N(W11)+N(X11),0))</f>
        <v>0</v>
      </c>
      <c r="AA11" s="10" t="n">
        <f aca="false">IF(OR(LEFT(N11,6)="Larger",LEFT(N11,4)="Memo"),H11,0)</f>
        <v>500</v>
      </c>
      <c r="AB11" s="12" t="str">
        <f aca="false">IFERROR(INDEX('State Rules'!$M$5:$M$11,MATCH($B11,'State Rules'!$A$5:$A$11,0)),"")</f>
        <v>LONG</v>
      </c>
      <c r="AC11" s="22" t="n">
        <f aca="false">IF(AB11="SHORT",P11,IF(AB11="LONG",Q11,""))</f>
        <v>46202</v>
      </c>
      <c r="AD11" s="11" t="str">
        <f aca="false">IF(AB11="SHORT",R11,IF(AB11="LONG",S11,""))</f>
        <v>Yes</v>
      </c>
    </row>
    <row r="12" customFormat="false" ht="15" hidden="false" customHeight="false" outlineLevel="0" collapsed="false">
      <c r="A12" s="11" t="s">
        <v>37</v>
      </c>
      <c r="B12" s="12" t="str">
        <f aca="false">IF(U12&lt;&gt;"",U12,IFERROR(INDEX(Summary!$B$11:$B$18,MATCH($A12,Summary!$A$11:$A$18,0)),""))</f>
        <v>TX</v>
      </c>
      <c r="C12" s="11" t="s">
        <v>37</v>
      </c>
      <c r="D12" s="11" t="n">
        <v>26</v>
      </c>
      <c r="E12" s="22" t="n">
        <v>45152</v>
      </c>
      <c r="F12" s="11" t="s">
        <v>113</v>
      </c>
      <c r="G12" s="11" t="s">
        <v>114</v>
      </c>
      <c r="H12" s="10" t="n">
        <v>824.12</v>
      </c>
      <c r="I12" s="11"/>
      <c r="J12" s="11" t="s">
        <v>101</v>
      </c>
      <c r="K12" s="23" t="n">
        <f aca="false">IF(E12="","",($B$4-E12)/365.25)</f>
        <v>3.14579055441478</v>
      </c>
      <c r="L12" s="11" t="str">
        <f aca="false">IF(K12="","no date",IF(K12&lt;1,"0-1 yrs",IF(K12&lt;2,"1-2 yrs",IF(K12&lt;3,"2-3 yrs",IF(K12&lt;5,"3-5 yrs","5+ yrs")))))</f>
        <v>3-5 yrs</v>
      </c>
      <c r="M12" s="11" t="s">
        <v>101</v>
      </c>
      <c r="N12" s="12" t="str">
        <f aca="false">IF(M12="Yes","Memo flag - not ours / unknown / hold: resolve",IF(OR(COUNTIF(Summary!$C$4:$R$4,H12)&gt;0,AND(A12="Philly",COUNTIF(Summary!$C$5:$R$5,H12)&gt;0),AND(A12="TUR",COUNTIF(Summary!$C$6:$R$6,H12)&gt;0),AND(A12="Leading Edge",COUNTIF(Summary!$C$7:$R$7,H12)&gt;0)),"Fee amount - presumed company revenue",IF(H12&lt;=Summary!$B$8,"Small amount - likely fee, review","Larger amount - likely includes agent commission")))</f>
        <v>Larger amount - likely includes agent commission</v>
      </c>
      <c r="O12" s="12" t="n">
        <f aca="false">IFERROR(INDEX('State Rules'!$C$5:$C$11,MATCH($B12,'State Rules'!$A$5:$A$11,0)),"")</f>
        <v>1</v>
      </c>
      <c r="P12" s="22" t="n">
        <f aca="false">IF(OR(O12="",E12=""),"",EDATE(E12,12*O12))</f>
        <v>45518</v>
      </c>
      <c r="Q12" s="22" t="n">
        <f aca="false">IF(E12="","",IFERROR(EDATE(E12,12*INDEX('State Rules'!$E$5:$E$11,MATCH($B12,'State Rules'!$A$5:$A$11,0))),""))</f>
        <v>46248</v>
      </c>
      <c r="R12" s="11" t="str">
        <f aca="false">IF(P12="","",IFERROR(IF(P12&lt;=INDEX('State Rules'!$I$5:$I$11,MATCH($B12,'State Rules'!$A$5:$A$11,0)),"Yes","No"),""))</f>
        <v>Yes</v>
      </c>
      <c r="S12" s="11" t="str">
        <f aca="false">IF(Q12="","",IFERROR(IF(Q12&lt;=INDEX('State Rules'!$I$5:$I$11,MATCH($B12,'State Rules'!$A$5:$A$11,0)),"Yes","No"),""))</f>
        <v>Yes</v>
      </c>
      <c r="T12" s="8"/>
      <c r="U12" s="8"/>
      <c r="V12" s="24"/>
      <c r="W12" s="24"/>
      <c r="X12" s="24"/>
      <c r="Y12" s="8"/>
      <c r="Z12" s="10" t="n">
        <f aca="false">IF(Q12="","",IF(Q12&lt;=$B$4,N(W12)+N(X12),0))</f>
        <v>0</v>
      </c>
      <c r="AA12" s="10" t="n">
        <f aca="false">IF(OR(LEFT(N12,6)="Larger",LEFT(N12,4)="Memo"),H12,0)</f>
        <v>824.12</v>
      </c>
      <c r="AB12" s="12" t="str">
        <f aca="false">IFERROR(INDEX('State Rules'!$M$5:$M$11,MATCH($B12,'State Rules'!$A$5:$A$11,0)),"")</f>
        <v>LONG</v>
      </c>
      <c r="AC12" s="22" t="n">
        <f aca="false">IF(AB12="SHORT",P12,IF(AB12="LONG",Q12,""))</f>
        <v>46248</v>
      </c>
      <c r="AD12" s="11" t="str">
        <f aca="false">IF(AB12="SHORT",R12,IF(AB12="LONG",S12,""))</f>
        <v>Yes</v>
      </c>
    </row>
    <row r="13" customFormat="false" ht="15" hidden="false" customHeight="false" outlineLevel="0" collapsed="false">
      <c r="A13" s="11" t="s">
        <v>37</v>
      </c>
      <c r="B13" s="12" t="str">
        <f aca="false">IF(U13&lt;&gt;"",U13,IFERROR(INDEX(Summary!$B$11:$B$18,MATCH($A13,Summary!$A$11:$A$18,0)),""))</f>
        <v>TX</v>
      </c>
      <c r="C13" s="11" t="s">
        <v>37</v>
      </c>
      <c r="D13" s="11" t="n">
        <v>27</v>
      </c>
      <c r="E13" s="22" t="n">
        <v>45176</v>
      </c>
      <c r="F13" s="11" t="s">
        <v>115</v>
      </c>
      <c r="G13" s="11" t="s">
        <v>116</v>
      </c>
      <c r="H13" s="10" t="n">
        <v>91.5</v>
      </c>
      <c r="I13" s="11"/>
      <c r="J13" s="11" t="s">
        <v>101</v>
      </c>
      <c r="K13" s="23" t="n">
        <f aca="false">IF(E13="","",($B$4-E13)/365.25)</f>
        <v>3.08008213552361</v>
      </c>
      <c r="L13" s="11" t="str">
        <f aca="false">IF(K13="","no date",IF(K13&lt;1,"0-1 yrs",IF(K13&lt;2,"1-2 yrs",IF(K13&lt;3,"2-3 yrs",IF(K13&lt;5,"3-5 yrs","5+ yrs")))))</f>
        <v>3-5 yrs</v>
      </c>
      <c r="M13" s="11" t="s">
        <v>101</v>
      </c>
      <c r="N13" s="12" t="str">
        <f aca="false">IF(M13="Yes","Memo flag - not ours / unknown / hold: resolve",IF(OR(COUNTIF(Summary!$C$4:$R$4,H13)&gt;0,AND(A13="Philly",COUNTIF(Summary!$C$5:$R$5,H13)&gt;0),AND(A13="TUR",COUNTIF(Summary!$C$6:$R$6,H13)&gt;0),AND(A13="Leading Edge",COUNTIF(Summary!$C$7:$R$7,H13)&gt;0)),"Fee amount - presumed company revenue",IF(H13&lt;=Summary!$B$8,"Small amount - likely fee, review","Larger amount - likely includes agent commission")))</f>
        <v>Small amount - likely fee, review</v>
      </c>
      <c r="O13" s="12" t="n">
        <f aca="false">IFERROR(INDEX('State Rules'!$C$5:$C$11,MATCH($B13,'State Rules'!$A$5:$A$11,0)),"")</f>
        <v>1</v>
      </c>
      <c r="P13" s="22" t="n">
        <f aca="false">IF(OR(O13="",E13=""),"",EDATE(E13,12*O13))</f>
        <v>45542</v>
      </c>
      <c r="Q13" s="22" t="n">
        <f aca="false">IF(E13="","",IFERROR(EDATE(E13,12*INDEX('State Rules'!$E$5:$E$11,MATCH($B13,'State Rules'!$A$5:$A$11,0))),""))</f>
        <v>46272</v>
      </c>
      <c r="R13" s="11" t="str">
        <f aca="false">IF(P13="","",IFERROR(IF(P13&lt;=INDEX('State Rules'!$I$5:$I$11,MATCH($B13,'State Rules'!$A$5:$A$11,0)),"Yes","No"),""))</f>
        <v>Yes</v>
      </c>
      <c r="S13" s="11" t="str">
        <f aca="false">IF(Q13="","",IFERROR(IF(Q13&lt;=INDEX('State Rules'!$I$5:$I$11,MATCH($B13,'State Rules'!$A$5:$A$11,0)),"Yes","No"),""))</f>
        <v>Yes</v>
      </c>
      <c r="T13" s="8"/>
      <c r="U13" s="8"/>
      <c r="V13" s="24"/>
      <c r="W13" s="24"/>
      <c r="X13" s="24"/>
      <c r="Y13" s="8"/>
      <c r="Z13" s="10" t="n">
        <f aca="false">IF(Q13="","",IF(Q13&lt;=$B$4,N(W13)+N(X13),0))</f>
        <v>0</v>
      </c>
      <c r="AA13" s="10" t="n">
        <f aca="false">IF(OR(LEFT(N13,6)="Larger",LEFT(N13,4)="Memo"),H13,0)</f>
        <v>0</v>
      </c>
      <c r="AB13" s="12" t="str">
        <f aca="false">IFERROR(INDEX('State Rules'!$M$5:$M$11,MATCH($B13,'State Rules'!$A$5:$A$11,0)),"")</f>
        <v>LONG</v>
      </c>
      <c r="AC13" s="22" t="n">
        <f aca="false">IF(AB13="SHORT",P13,IF(AB13="LONG",Q13,""))</f>
        <v>46272</v>
      </c>
      <c r="AD13" s="11" t="str">
        <f aca="false">IF(AB13="SHORT",R13,IF(AB13="LONG",S13,""))</f>
        <v>Yes</v>
      </c>
    </row>
    <row r="14" customFormat="false" ht="15" hidden="false" customHeight="false" outlineLevel="0" collapsed="false">
      <c r="A14" s="11" t="s">
        <v>37</v>
      </c>
      <c r="B14" s="12" t="str">
        <f aca="false">IF(U14&lt;&gt;"",U14,IFERROR(INDEX(Summary!$B$11:$B$18,MATCH($A14,Summary!$A$11:$A$18,0)),""))</f>
        <v>TX</v>
      </c>
      <c r="C14" s="11" t="s">
        <v>37</v>
      </c>
      <c r="D14" s="11" t="n">
        <v>28</v>
      </c>
      <c r="E14" s="22" t="n">
        <v>45183</v>
      </c>
      <c r="F14" s="11" t="s">
        <v>117</v>
      </c>
      <c r="G14" s="11" t="s">
        <v>118</v>
      </c>
      <c r="H14" s="10" t="n">
        <v>1000</v>
      </c>
      <c r="I14" s="11"/>
      <c r="J14" s="11" t="s">
        <v>101</v>
      </c>
      <c r="K14" s="23" t="n">
        <f aca="false">IF(E14="","",($B$4-E14)/365.25)</f>
        <v>3.06091718001369</v>
      </c>
      <c r="L14" s="11" t="str">
        <f aca="false">IF(K14="","no date",IF(K14&lt;1,"0-1 yrs",IF(K14&lt;2,"1-2 yrs",IF(K14&lt;3,"2-3 yrs",IF(K14&lt;5,"3-5 yrs","5+ yrs")))))</f>
        <v>3-5 yrs</v>
      </c>
      <c r="M14" s="11" t="s">
        <v>101</v>
      </c>
      <c r="N14" s="12" t="str">
        <f aca="false">IF(M14="Yes","Memo flag - not ours / unknown / hold: resolve",IF(OR(COUNTIF(Summary!$C$4:$R$4,H14)&gt;0,AND(A14="Philly",COUNTIF(Summary!$C$5:$R$5,H14)&gt;0),AND(A14="TUR",COUNTIF(Summary!$C$6:$R$6,H14)&gt;0),AND(A14="Leading Edge",COUNTIF(Summary!$C$7:$R$7,H14)&gt;0)),"Fee amount - presumed company revenue",IF(H14&lt;=Summary!$B$8,"Small amount - likely fee, review","Larger amount - likely includes agent commission")))</f>
        <v>Larger amount - likely includes agent commission</v>
      </c>
      <c r="O14" s="12" t="n">
        <f aca="false">IFERROR(INDEX('State Rules'!$C$5:$C$11,MATCH($B14,'State Rules'!$A$5:$A$11,0)),"")</f>
        <v>1</v>
      </c>
      <c r="P14" s="22" t="n">
        <f aca="false">IF(OR(O14="",E14=""),"",EDATE(E14,12*O14))</f>
        <v>45549</v>
      </c>
      <c r="Q14" s="22" t="n">
        <f aca="false">IF(E14="","",IFERROR(EDATE(E14,12*INDEX('State Rules'!$E$5:$E$11,MATCH($B14,'State Rules'!$A$5:$A$11,0))),""))</f>
        <v>46279</v>
      </c>
      <c r="R14" s="11" t="str">
        <f aca="false">IF(P14="","",IFERROR(IF(P14&lt;=INDEX('State Rules'!$I$5:$I$11,MATCH($B14,'State Rules'!$A$5:$A$11,0)),"Yes","No"),""))</f>
        <v>Yes</v>
      </c>
      <c r="S14" s="11" t="str">
        <f aca="false">IF(Q14="","",IFERROR(IF(Q14&lt;=INDEX('State Rules'!$I$5:$I$11,MATCH($B14,'State Rules'!$A$5:$A$11,0)),"Yes","No"),""))</f>
        <v>Yes</v>
      </c>
      <c r="T14" s="8"/>
      <c r="U14" s="8"/>
      <c r="V14" s="24"/>
      <c r="W14" s="24"/>
      <c r="X14" s="24"/>
      <c r="Y14" s="8"/>
      <c r="Z14" s="10" t="n">
        <f aca="false">IF(Q14="","",IF(Q14&lt;=$B$4,N(W14)+N(X14),0))</f>
        <v>0</v>
      </c>
      <c r="AA14" s="10" t="n">
        <f aca="false">IF(OR(LEFT(N14,6)="Larger",LEFT(N14,4)="Memo"),H14,0)</f>
        <v>1000</v>
      </c>
      <c r="AB14" s="12" t="str">
        <f aca="false">IFERROR(INDEX('State Rules'!$M$5:$M$11,MATCH($B14,'State Rules'!$A$5:$A$11,0)),"")</f>
        <v>LONG</v>
      </c>
      <c r="AC14" s="22" t="n">
        <f aca="false">IF(AB14="SHORT",P14,IF(AB14="LONG",Q14,""))</f>
        <v>46279</v>
      </c>
      <c r="AD14" s="11" t="str">
        <f aca="false">IF(AB14="SHORT",R14,IF(AB14="LONG",S14,""))</f>
        <v>Yes</v>
      </c>
    </row>
    <row r="15" customFormat="false" ht="15" hidden="false" customHeight="false" outlineLevel="0" collapsed="false">
      <c r="A15" s="11" t="s">
        <v>37</v>
      </c>
      <c r="B15" s="12" t="str">
        <f aca="false">IF(U15&lt;&gt;"",U15,IFERROR(INDEX(Summary!$B$11:$B$18,MATCH($A15,Summary!$A$11:$A$18,0)),""))</f>
        <v>TX</v>
      </c>
      <c r="C15" s="11" t="s">
        <v>37</v>
      </c>
      <c r="D15" s="11" t="n">
        <v>29</v>
      </c>
      <c r="E15" s="22" t="n">
        <v>45237</v>
      </c>
      <c r="F15" s="11" t="s">
        <v>119</v>
      </c>
      <c r="G15" s="11" t="s">
        <v>120</v>
      </c>
      <c r="H15" s="10" t="n">
        <v>800</v>
      </c>
      <c r="I15" s="11"/>
      <c r="J15" s="11" t="s">
        <v>101</v>
      </c>
      <c r="K15" s="23" t="n">
        <f aca="false">IF(E15="","",($B$4-E15)/365.25)</f>
        <v>2.91307323750856</v>
      </c>
      <c r="L15" s="11" t="str">
        <f aca="false">IF(K15="","no date",IF(K15&lt;1,"0-1 yrs",IF(K15&lt;2,"1-2 yrs",IF(K15&lt;3,"2-3 yrs",IF(K15&lt;5,"3-5 yrs","5+ yrs")))))</f>
        <v>2-3 yrs</v>
      </c>
      <c r="M15" s="11" t="s">
        <v>101</v>
      </c>
      <c r="N15" s="12" t="str">
        <f aca="false">IF(M15="Yes","Memo flag - not ours / unknown / hold: resolve",IF(OR(COUNTIF(Summary!$C$4:$R$4,H15)&gt;0,AND(A15="Philly",COUNTIF(Summary!$C$5:$R$5,H15)&gt;0),AND(A15="TUR",COUNTIF(Summary!$C$6:$R$6,H15)&gt;0),AND(A15="Leading Edge",COUNTIF(Summary!$C$7:$R$7,H15)&gt;0)),"Fee amount - presumed company revenue",IF(H15&lt;=Summary!$B$8,"Small amount - likely fee, review","Larger amount - likely includes agent commission")))</f>
        <v>Larger amount - likely includes agent commission</v>
      </c>
      <c r="O15" s="12" t="n">
        <f aca="false">IFERROR(INDEX('State Rules'!$C$5:$C$11,MATCH($B15,'State Rules'!$A$5:$A$11,0)),"")</f>
        <v>1</v>
      </c>
      <c r="P15" s="22" t="n">
        <f aca="false">IF(OR(O15="",E15=""),"",EDATE(E15,12*O15))</f>
        <v>45603</v>
      </c>
      <c r="Q15" s="22" t="n">
        <f aca="false">IF(E15="","",IFERROR(EDATE(E15,12*INDEX('State Rules'!$E$5:$E$11,MATCH($B15,'State Rules'!$A$5:$A$11,0))),""))</f>
        <v>46333</v>
      </c>
      <c r="R15" s="11" t="str">
        <f aca="false">IF(P15="","",IFERROR(IF(P15&lt;=INDEX('State Rules'!$I$5:$I$11,MATCH($B15,'State Rules'!$A$5:$A$11,0)),"Yes","No"),""))</f>
        <v>Yes</v>
      </c>
      <c r="S15" s="11" t="str">
        <f aca="false">IF(Q15="","",IFERROR(IF(Q15&lt;=INDEX('State Rules'!$I$5:$I$11,MATCH($B15,'State Rules'!$A$5:$A$11,0)),"Yes","No"),""))</f>
        <v>Yes</v>
      </c>
      <c r="T15" s="8"/>
      <c r="U15" s="8"/>
      <c r="V15" s="24"/>
      <c r="W15" s="24"/>
      <c r="X15" s="24"/>
      <c r="Y15" s="8"/>
      <c r="Z15" s="10" t="n">
        <f aca="false">IF(Q15="","",IF(Q15&lt;=$B$4,N(W15)+N(X15),0))</f>
        <v>0</v>
      </c>
      <c r="AA15" s="10" t="n">
        <f aca="false">IF(OR(LEFT(N15,6)="Larger",LEFT(N15,4)="Memo"),H15,0)</f>
        <v>800</v>
      </c>
      <c r="AB15" s="12" t="str">
        <f aca="false">IFERROR(INDEX('State Rules'!$M$5:$M$11,MATCH($B15,'State Rules'!$A$5:$A$11,0)),"")</f>
        <v>LONG</v>
      </c>
      <c r="AC15" s="22" t="n">
        <f aca="false">IF(AB15="SHORT",P15,IF(AB15="LONG",Q15,""))</f>
        <v>46333</v>
      </c>
      <c r="AD15" s="11" t="str">
        <f aca="false">IF(AB15="SHORT",R15,IF(AB15="LONG",S15,""))</f>
        <v>Yes</v>
      </c>
    </row>
    <row r="16" customFormat="false" ht="15" hidden="false" customHeight="false" outlineLevel="0" collapsed="false">
      <c r="A16" s="11" t="s">
        <v>37</v>
      </c>
      <c r="B16" s="12" t="str">
        <f aca="false">IF(U16&lt;&gt;"",U16,IFERROR(INDEX(Summary!$B$11:$B$18,MATCH($A16,Summary!$A$11:$A$18,0)),""))</f>
        <v>TX</v>
      </c>
      <c r="C16" s="11" t="s">
        <v>37</v>
      </c>
      <c r="D16" s="11" t="n">
        <v>30</v>
      </c>
      <c r="E16" s="22" t="n">
        <v>45344</v>
      </c>
      <c r="F16" s="11" t="s">
        <v>121</v>
      </c>
      <c r="G16" s="11" t="s">
        <v>122</v>
      </c>
      <c r="H16" s="10" t="n">
        <v>534.5</v>
      </c>
      <c r="I16" s="11" t="s">
        <v>123</v>
      </c>
      <c r="J16" s="11" t="s">
        <v>101</v>
      </c>
      <c r="K16" s="23" t="n">
        <f aca="false">IF(E16="","",($B$4-E16)/365.25)</f>
        <v>2.62012320328542</v>
      </c>
      <c r="L16" s="11" t="str">
        <f aca="false">IF(K16="","no date",IF(K16&lt;1,"0-1 yrs",IF(K16&lt;2,"1-2 yrs",IF(K16&lt;3,"2-3 yrs",IF(K16&lt;5,"3-5 yrs","5+ yrs")))))</f>
        <v>2-3 yrs</v>
      </c>
      <c r="M16" s="11" t="s">
        <v>101</v>
      </c>
      <c r="N16" s="12" t="str">
        <f aca="false">IF(M16="Yes","Memo flag - not ours / unknown / hold: resolve",IF(OR(COUNTIF(Summary!$C$4:$R$4,H16)&gt;0,AND(A16="Philly",COUNTIF(Summary!$C$5:$R$5,H16)&gt;0),AND(A16="TUR",COUNTIF(Summary!$C$6:$R$6,H16)&gt;0),AND(A16="Leading Edge",COUNTIF(Summary!$C$7:$R$7,H16)&gt;0)),"Fee amount - presumed company revenue",IF(H16&lt;=Summary!$B$8,"Small amount - likely fee, review","Larger amount - likely includes agent commission")))</f>
        <v>Larger amount - likely includes agent commission</v>
      </c>
      <c r="O16" s="12" t="n">
        <f aca="false">IFERROR(INDEX('State Rules'!$C$5:$C$11,MATCH($B16,'State Rules'!$A$5:$A$11,0)),"")</f>
        <v>1</v>
      </c>
      <c r="P16" s="22" t="n">
        <f aca="false">IF(OR(O16="",E16=""),"",EDATE(E16,12*O16))</f>
        <v>45710</v>
      </c>
      <c r="Q16" s="22" t="n">
        <f aca="false">IF(E16="","",IFERROR(EDATE(E16,12*INDEX('State Rules'!$E$5:$E$11,MATCH($B16,'State Rules'!$A$5:$A$11,0))),""))</f>
        <v>46440</v>
      </c>
      <c r="R16" s="11" t="str">
        <f aca="false">IF(P16="","",IFERROR(IF(P16&lt;=INDEX('State Rules'!$I$5:$I$11,MATCH($B16,'State Rules'!$A$5:$A$11,0)),"Yes","No"),""))</f>
        <v>Yes</v>
      </c>
      <c r="S16" s="11" t="str">
        <f aca="false">IF(Q16="","",IFERROR(IF(Q16&lt;=INDEX('State Rules'!$I$5:$I$11,MATCH($B16,'State Rules'!$A$5:$A$11,0)),"Yes","No"),""))</f>
        <v>Yes</v>
      </c>
      <c r="T16" s="8"/>
      <c r="U16" s="8"/>
      <c r="V16" s="24"/>
      <c r="W16" s="24"/>
      <c r="X16" s="24"/>
      <c r="Y16" s="8"/>
      <c r="Z16" s="10" t="n">
        <f aca="false">IF(Q16="","",IF(Q16&lt;=$B$4,N(W16)+N(X16),0))</f>
        <v>0</v>
      </c>
      <c r="AA16" s="10" t="n">
        <f aca="false">IF(OR(LEFT(N16,6)="Larger",LEFT(N16,4)="Memo"),H16,0)</f>
        <v>534.5</v>
      </c>
      <c r="AB16" s="12" t="str">
        <f aca="false">IFERROR(INDEX('State Rules'!$M$5:$M$11,MATCH($B16,'State Rules'!$A$5:$A$11,0)),"")</f>
        <v>LONG</v>
      </c>
      <c r="AC16" s="22" t="n">
        <f aca="false">IF(AB16="SHORT",P16,IF(AB16="LONG",Q16,""))</f>
        <v>46440</v>
      </c>
      <c r="AD16" s="11" t="str">
        <f aca="false">IF(AB16="SHORT",R16,IF(AB16="LONG",S16,""))</f>
        <v>Yes</v>
      </c>
    </row>
    <row r="17" customFormat="false" ht="15" hidden="false" customHeight="false" outlineLevel="0" collapsed="false">
      <c r="A17" s="11" t="s">
        <v>37</v>
      </c>
      <c r="B17" s="12" t="str">
        <f aca="false">IF(U17&lt;&gt;"",U17,IFERROR(INDEX(Summary!$B$11:$B$18,MATCH($A17,Summary!$A$11:$A$18,0)),""))</f>
        <v>TX</v>
      </c>
      <c r="C17" s="11" t="s">
        <v>37</v>
      </c>
      <c r="D17" s="11" t="n">
        <v>31</v>
      </c>
      <c r="E17" s="22" t="n">
        <v>45365</v>
      </c>
      <c r="F17" s="11" t="s">
        <v>124</v>
      </c>
      <c r="G17" s="11" t="s">
        <v>125</v>
      </c>
      <c r="H17" s="10" t="n">
        <v>945</v>
      </c>
      <c r="I17" s="11" t="s">
        <v>126</v>
      </c>
      <c r="J17" s="11" t="s">
        <v>101</v>
      </c>
      <c r="K17" s="23" t="n">
        <f aca="false">IF(E17="","",($B$4-E17)/365.25)</f>
        <v>2.56262833675565</v>
      </c>
      <c r="L17" s="11" t="str">
        <f aca="false">IF(K17="","no date",IF(K17&lt;1,"0-1 yrs",IF(K17&lt;2,"1-2 yrs",IF(K17&lt;3,"2-3 yrs",IF(K17&lt;5,"3-5 yrs","5+ yrs")))))</f>
        <v>2-3 yrs</v>
      </c>
      <c r="M17" s="25" t="s">
        <v>112</v>
      </c>
      <c r="N17" s="12" t="str">
        <f aca="false">IF(M17="Yes","Memo flag - not ours / unknown / hold: resolve",IF(OR(COUNTIF(Summary!$C$4:$R$4,H17)&gt;0,AND(A17="Philly",COUNTIF(Summary!$C$5:$R$5,H17)&gt;0),AND(A17="TUR",COUNTIF(Summary!$C$6:$R$6,H17)&gt;0),AND(A17="Leading Edge",COUNTIF(Summary!$C$7:$R$7,H17)&gt;0)),"Fee amount - presumed company revenue",IF(H17&lt;=Summary!$B$8,"Small amount - likely fee, review","Larger amount - likely includes agent commission")))</f>
        <v>Memo flag - not ours / unknown / hold: resolve</v>
      </c>
      <c r="O17" s="12" t="n">
        <f aca="false">IFERROR(INDEX('State Rules'!$C$5:$C$11,MATCH($B17,'State Rules'!$A$5:$A$11,0)),"")</f>
        <v>1</v>
      </c>
      <c r="P17" s="22" t="n">
        <f aca="false">IF(OR(O17="",E17=""),"",EDATE(E17,12*O17))</f>
        <v>45730</v>
      </c>
      <c r="Q17" s="22" t="n">
        <f aca="false">IF(E17="","",IFERROR(EDATE(E17,12*INDEX('State Rules'!$E$5:$E$11,MATCH($B17,'State Rules'!$A$5:$A$11,0))),""))</f>
        <v>46460</v>
      </c>
      <c r="R17" s="11" t="str">
        <f aca="false">IF(P17="","",IFERROR(IF(P17&lt;=INDEX('State Rules'!$I$5:$I$11,MATCH($B17,'State Rules'!$A$5:$A$11,0)),"Yes","No"),""))</f>
        <v>Yes</v>
      </c>
      <c r="S17" s="11" t="str">
        <f aca="false">IF(Q17="","",IFERROR(IF(Q17&lt;=INDEX('State Rules'!$I$5:$I$11,MATCH($B17,'State Rules'!$A$5:$A$11,0)),"Yes","No"),""))</f>
        <v>No</v>
      </c>
      <c r="T17" s="8"/>
      <c r="U17" s="8"/>
      <c r="V17" s="24"/>
      <c r="W17" s="24"/>
      <c r="X17" s="24"/>
      <c r="Y17" s="8"/>
      <c r="Z17" s="10" t="n">
        <f aca="false">IF(Q17="","",IF(Q17&lt;=$B$4,N(W17)+N(X17),0))</f>
        <v>0</v>
      </c>
      <c r="AA17" s="10" t="n">
        <f aca="false">IF(OR(LEFT(N17,6)="Larger",LEFT(N17,4)="Memo"),H17,0)</f>
        <v>945</v>
      </c>
      <c r="AB17" s="12" t="str">
        <f aca="false">IFERROR(INDEX('State Rules'!$M$5:$M$11,MATCH($B17,'State Rules'!$A$5:$A$11,0)),"")</f>
        <v>LONG</v>
      </c>
      <c r="AC17" s="22" t="n">
        <f aca="false">IF(AB17="SHORT",P17,IF(AB17="LONG",Q17,""))</f>
        <v>46460</v>
      </c>
      <c r="AD17" s="11" t="str">
        <f aca="false">IF(AB17="SHORT",R17,IF(AB17="LONG",S17,""))</f>
        <v>No</v>
      </c>
    </row>
    <row r="18" customFormat="false" ht="15" hidden="false" customHeight="false" outlineLevel="0" collapsed="false">
      <c r="A18" s="11" t="s">
        <v>37</v>
      </c>
      <c r="B18" s="12" t="str">
        <f aca="false">IF(U18&lt;&gt;"",U18,IFERROR(INDEX(Summary!$B$11:$B$18,MATCH($A18,Summary!$A$11:$A$18,0)),""))</f>
        <v>TX</v>
      </c>
      <c r="C18" s="11" t="s">
        <v>37</v>
      </c>
      <c r="D18" s="11" t="n">
        <v>32</v>
      </c>
      <c r="E18" s="22" t="n">
        <v>45379</v>
      </c>
      <c r="F18" s="11" t="s">
        <v>127</v>
      </c>
      <c r="G18" s="11" t="s">
        <v>128</v>
      </c>
      <c r="H18" s="10" t="n">
        <v>1000</v>
      </c>
      <c r="I18" s="11" t="s">
        <v>129</v>
      </c>
      <c r="J18" s="11" t="s">
        <v>101</v>
      </c>
      <c r="K18" s="23" t="n">
        <f aca="false">IF(E18="","",($B$4-E18)/365.25)</f>
        <v>2.5242984257358</v>
      </c>
      <c r="L18" s="11" t="str">
        <f aca="false">IF(K18="","no date",IF(K18&lt;1,"0-1 yrs",IF(K18&lt;2,"1-2 yrs",IF(K18&lt;3,"2-3 yrs",IF(K18&lt;5,"3-5 yrs","5+ yrs")))))</f>
        <v>2-3 yrs</v>
      </c>
      <c r="M18" s="11" t="s">
        <v>101</v>
      </c>
      <c r="N18" s="12" t="str">
        <f aca="false">IF(M18="Yes","Memo flag - not ours / unknown / hold: resolve",IF(OR(COUNTIF(Summary!$C$4:$R$4,H18)&gt;0,AND(A18="Philly",COUNTIF(Summary!$C$5:$R$5,H18)&gt;0),AND(A18="TUR",COUNTIF(Summary!$C$6:$R$6,H18)&gt;0),AND(A18="Leading Edge",COUNTIF(Summary!$C$7:$R$7,H18)&gt;0)),"Fee amount - presumed company revenue",IF(H18&lt;=Summary!$B$8,"Small amount - likely fee, review","Larger amount - likely includes agent commission")))</f>
        <v>Larger amount - likely includes agent commission</v>
      </c>
      <c r="O18" s="12" t="n">
        <f aca="false">IFERROR(INDEX('State Rules'!$C$5:$C$11,MATCH($B18,'State Rules'!$A$5:$A$11,0)),"")</f>
        <v>1</v>
      </c>
      <c r="P18" s="22" t="n">
        <f aca="false">IF(OR(O18="",E18=""),"",EDATE(E18,12*O18))</f>
        <v>45744</v>
      </c>
      <c r="Q18" s="22" t="n">
        <f aca="false">IF(E18="","",IFERROR(EDATE(E18,12*INDEX('State Rules'!$E$5:$E$11,MATCH($B18,'State Rules'!$A$5:$A$11,0))),""))</f>
        <v>46474</v>
      </c>
      <c r="R18" s="11" t="str">
        <f aca="false">IF(P18="","",IFERROR(IF(P18&lt;=INDEX('State Rules'!$I$5:$I$11,MATCH($B18,'State Rules'!$A$5:$A$11,0)),"Yes","No"),""))</f>
        <v>Yes</v>
      </c>
      <c r="S18" s="11" t="str">
        <f aca="false">IF(Q18="","",IFERROR(IF(Q18&lt;=INDEX('State Rules'!$I$5:$I$11,MATCH($B18,'State Rules'!$A$5:$A$11,0)),"Yes","No"),""))</f>
        <v>No</v>
      </c>
      <c r="T18" s="8"/>
      <c r="U18" s="8"/>
      <c r="V18" s="24"/>
      <c r="W18" s="24"/>
      <c r="X18" s="24"/>
      <c r="Y18" s="8"/>
      <c r="Z18" s="10" t="n">
        <f aca="false">IF(Q18="","",IF(Q18&lt;=$B$4,N(W18)+N(X18),0))</f>
        <v>0</v>
      </c>
      <c r="AA18" s="10" t="n">
        <f aca="false">IF(OR(LEFT(N18,6)="Larger",LEFT(N18,4)="Memo"),H18,0)</f>
        <v>1000</v>
      </c>
      <c r="AB18" s="12" t="str">
        <f aca="false">IFERROR(INDEX('State Rules'!$M$5:$M$11,MATCH($B18,'State Rules'!$A$5:$A$11,0)),"")</f>
        <v>LONG</v>
      </c>
      <c r="AC18" s="22" t="n">
        <f aca="false">IF(AB18="SHORT",P18,IF(AB18="LONG",Q18,""))</f>
        <v>46474</v>
      </c>
      <c r="AD18" s="11" t="str">
        <f aca="false">IF(AB18="SHORT",R18,IF(AB18="LONG",S18,""))</f>
        <v>No</v>
      </c>
    </row>
    <row r="19" customFormat="false" ht="15" hidden="false" customHeight="false" outlineLevel="0" collapsed="false">
      <c r="A19" s="11" t="s">
        <v>37</v>
      </c>
      <c r="B19" s="12" t="str">
        <f aca="false">IF(U19&lt;&gt;"",U19,IFERROR(INDEX(Summary!$B$11:$B$18,MATCH($A19,Summary!$A$11:$A$18,0)),""))</f>
        <v>TX</v>
      </c>
      <c r="C19" s="11" t="s">
        <v>37</v>
      </c>
      <c r="D19" s="11" t="n">
        <v>33</v>
      </c>
      <c r="E19" s="22" t="n">
        <v>45450</v>
      </c>
      <c r="F19" s="11" t="s">
        <v>130</v>
      </c>
      <c r="G19" s="11"/>
      <c r="H19" s="10" t="n">
        <v>44</v>
      </c>
      <c r="I19" s="11" t="s">
        <v>131</v>
      </c>
      <c r="J19" s="11" t="s">
        <v>101</v>
      </c>
      <c r="K19" s="23" t="n">
        <f aca="false">IF(E19="","",($B$4-E19)/365.25)</f>
        <v>2.32991101984942</v>
      </c>
      <c r="L19" s="11" t="str">
        <f aca="false">IF(K19="","no date",IF(K19&lt;1,"0-1 yrs",IF(K19&lt;2,"1-2 yrs",IF(K19&lt;3,"2-3 yrs",IF(K19&lt;5,"3-5 yrs","5+ yrs")))))</f>
        <v>2-3 yrs</v>
      </c>
      <c r="M19" s="11" t="s">
        <v>101</v>
      </c>
      <c r="N19" s="12" t="str">
        <f aca="false">IF(M19="Yes","Memo flag - not ours / unknown / hold: resolve",IF(OR(COUNTIF(Summary!$C$4:$R$4,H19)&gt;0,AND(A19="Philly",COUNTIF(Summary!$C$5:$R$5,H19)&gt;0),AND(A19="TUR",COUNTIF(Summary!$C$6:$R$6,H19)&gt;0),AND(A19="Leading Edge",COUNTIF(Summary!$C$7:$R$7,H19)&gt;0)),"Fee amount - presumed company revenue",IF(H19&lt;=Summary!$B$8,"Small amount - likely fee, review","Larger amount - likely includes agent commission")))</f>
        <v>Small amount - likely fee, review</v>
      </c>
      <c r="O19" s="12" t="n">
        <f aca="false">IFERROR(INDEX('State Rules'!$C$5:$C$11,MATCH($B19,'State Rules'!$A$5:$A$11,0)),"")</f>
        <v>1</v>
      </c>
      <c r="P19" s="22" t="n">
        <f aca="false">IF(OR(O19="",E19=""),"",EDATE(E19,12*O19))</f>
        <v>45815</v>
      </c>
      <c r="Q19" s="22" t="n">
        <f aca="false">IF(E19="","",IFERROR(EDATE(E19,12*INDEX('State Rules'!$E$5:$E$11,MATCH($B19,'State Rules'!$A$5:$A$11,0))),""))</f>
        <v>46545</v>
      </c>
      <c r="R19" s="11" t="str">
        <f aca="false">IF(P19="","",IFERROR(IF(P19&lt;=INDEX('State Rules'!$I$5:$I$11,MATCH($B19,'State Rules'!$A$5:$A$11,0)),"Yes","No"),""))</f>
        <v>Yes</v>
      </c>
      <c r="S19" s="11" t="str">
        <f aca="false">IF(Q19="","",IFERROR(IF(Q19&lt;=INDEX('State Rules'!$I$5:$I$11,MATCH($B19,'State Rules'!$A$5:$A$11,0)),"Yes","No"),""))</f>
        <v>No</v>
      </c>
      <c r="T19" s="8"/>
      <c r="U19" s="8"/>
      <c r="V19" s="24"/>
      <c r="W19" s="24"/>
      <c r="X19" s="24"/>
      <c r="Y19" s="8"/>
      <c r="Z19" s="10" t="n">
        <f aca="false">IF(Q19="","",IF(Q19&lt;=$B$4,N(W19)+N(X19),0))</f>
        <v>0</v>
      </c>
      <c r="AA19" s="10" t="n">
        <f aca="false">IF(OR(LEFT(N19,6)="Larger",LEFT(N19,4)="Memo"),H19,0)</f>
        <v>0</v>
      </c>
      <c r="AB19" s="12" t="str">
        <f aca="false">IFERROR(INDEX('State Rules'!$M$5:$M$11,MATCH($B19,'State Rules'!$A$5:$A$11,0)),"")</f>
        <v>LONG</v>
      </c>
      <c r="AC19" s="22" t="n">
        <f aca="false">IF(AB19="SHORT",P19,IF(AB19="LONG",Q19,""))</f>
        <v>46545</v>
      </c>
      <c r="AD19" s="11" t="str">
        <f aca="false">IF(AB19="SHORT",R19,IF(AB19="LONG",S19,""))</f>
        <v>No</v>
      </c>
    </row>
    <row r="20" customFormat="false" ht="15" hidden="false" customHeight="false" outlineLevel="0" collapsed="false">
      <c r="A20" s="11" t="s">
        <v>37</v>
      </c>
      <c r="B20" s="12" t="str">
        <f aca="false">IF(U20&lt;&gt;"",U20,IFERROR(INDEX(Summary!$B$11:$B$18,MATCH($A20,Summary!$A$11:$A$18,0)),""))</f>
        <v>TX</v>
      </c>
      <c r="C20" s="11" t="s">
        <v>37</v>
      </c>
      <c r="D20" s="11" t="n">
        <v>34</v>
      </c>
      <c r="E20" s="22" t="n">
        <v>45476</v>
      </c>
      <c r="F20" s="11" t="s">
        <v>132</v>
      </c>
      <c r="G20" s="11" t="s">
        <v>133</v>
      </c>
      <c r="H20" s="10" t="n">
        <v>10</v>
      </c>
      <c r="I20" s="11"/>
      <c r="J20" s="11" t="s">
        <v>101</v>
      </c>
      <c r="K20" s="23" t="n">
        <f aca="false">IF(E20="","",($B$4-E20)/365.25)</f>
        <v>2.25872689938398</v>
      </c>
      <c r="L20" s="11" t="str">
        <f aca="false">IF(K20="","no date",IF(K20&lt;1,"0-1 yrs",IF(K20&lt;2,"1-2 yrs",IF(K20&lt;3,"2-3 yrs",IF(K20&lt;5,"3-5 yrs","5+ yrs")))))</f>
        <v>2-3 yrs</v>
      </c>
      <c r="M20" s="11" t="s">
        <v>101</v>
      </c>
      <c r="N20" s="12" t="str">
        <f aca="false">IF(M20="Yes","Memo flag - not ours / unknown / hold: resolve",IF(OR(COUNTIF(Summary!$C$4:$R$4,H20)&gt;0,AND(A20="Philly",COUNTIF(Summary!$C$5:$R$5,H20)&gt;0),AND(A20="TUR",COUNTIF(Summary!$C$6:$R$6,H20)&gt;0),AND(A20="Leading Edge",COUNTIF(Summary!$C$7:$R$7,H20)&gt;0)),"Fee amount - presumed company revenue",IF(H20&lt;=Summary!$B$8,"Small amount - likely fee, review","Larger amount - likely includes agent commission")))</f>
        <v>Small amount - likely fee, review</v>
      </c>
      <c r="O20" s="12" t="n">
        <f aca="false">IFERROR(INDEX('State Rules'!$C$5:$C$11,MATCH($B20,'State Rules'!$A$5:$A$11,0)),"")</f>
        <v>1</v>
      </c>
      <c r="P20" s="22" t="n">
        <f aca="false">IF(OR(O20="",E20=""),"",EDATE(E20,12*O20))</f>
        <v>45841</v>
      </c>
      <c r="Q20" s="22" t="n">
        <f aca="false">IF(E20="","",IFERROR(EDATE(E20,12*INDEX('State Rules'!$E$5:$E$11,MATCH($B20,'State Rules'!$A$5:$A$11,0))),""))</f>
        <v>46571</v>
      </c>
      <c r="R20" s="11" t="str">
        <f aca="false">IF(P20="","",IFERROR(IF(P20&lt;=INDEX('State Rules'!$I$5:$I$11,MATCH($B20,'State Rules'!$A$5:$A$11,0)),"Yes","No"),""))</f>
        <v>Yes</v>
      </c>
      <c r="S20" s="11" t="str">
        <f aca="false">IF(Q20="","",IFERROR(IF(Q20&lt;=INDEX('State Rules'!$I$5:$I$11,MATCH($B20,'State Rules'!$A$5:$A$11,0)),"Yes","No"),""))</f>
        <v>No</v>
      </c>
      <c r="T20" s="8"/>
      <c r="U20" s="8"/>
      <c r="V20" s="24"/>
      <c r="W20" s="24"/>
      <c r="X20" s="24"/>
      <c r="Y20" s="8"/>
      <c r="Z20" s="10" t="n">
        <f aca="false">IF(Q20="","",IF(Q20&lt;=$B$4,N(W20)+N(X20),0))</f>
        <v>0</v>
      </c>
      <c r="AA20" s="10" t="n">
        <f aca="false">IF(OR(LEFT(N20,6)="Larger",LEFT(N20,4)="Memo"),H20,0)</f>
        <v>0</v>
      </c>
      <c r="AB20" s="12" t="str">
        <f aca="false">IFERROR(INDEX('State Rules'!$M$5:$M$11,MATCH($B20,'State Rules'!$A$5:$A$11,0)),"")</f>
        <v>LONG</v>
      </c>
      <c r="AC20" s="22" t="n">
        <f aca="false">IF(AB20="SHORT",P20,IF(AB20="LONG",Q20,""))</f>
        <v>46571</v>
      </c>
      <c r="AD20" s="11" t="str">
        <f aca="false">IF(AB20="SHORT",R20,IF(AB20="LONG",S20,""))</f>
        <v>No</v>
      </c>
    </row>
    <row r="21" customFormat="false" ht="15" hidden="false" customHeight="false" outlineLevel="0" collapsed="false">
      <c r="A21" s="11" t="s">
        <v>37</v>
      </c>
      <c r="B21" s="12" t="str">
        <f aca="false">IF(U21&lt;&gt;"",U21,IFERROR(INDEX(Summary!$B$11:$B$18,MATCH($A21,Summary!$A$11:$A$18,0)),""))</f>
        <v>TX</v>
      </c>
      <c r="C21" s="11" t="s">
        <v>37</v>
      </c>
      <c r="D21" s="11" t="n">
        <v>35</v>
      </c>
      <c r="E21" s="22" t="n">
        <v>45476</v>
      </c>
      <c r="F21" s="11" t="s">
        <v>134</v>
      </c>
      <c r="G21" s="11" t="s">
        <v>133</v>
      </c>
      <c r="H21" s="10" t="n">
        <v>1549</v>
      </c>
      <c r="I21" s="11"/>
      <c r="J21" s="11" t="s">
        <v>101</v>
      </c>
      <c r="K21" s="23" t="n">
        <f aca="false">IF(E21="","",($B$4-E21)/365.25)</f>
        <v>2.25872689938398</v>
      </c>
      <c r="L21" s="11" t="str">
        <f aca="false">IF(K21="","no date",IF(K21&lt;1,"0-1 yrs",IF(K21&lt;2,"1-2 yrs",IF(K21&lt;3,"2-3 yrs",IF(K21&lt;5,"3-5 yrs","5+ yrs")))))</f>
        <v>2-3 yrs</v>
      </c>
      <c r="M21" s="11" t="s">
        <v>101</v>
      </c>
      <c r="N21" s="12" t="str">
        <f aca="false">IF(M21="Yes","Memo flag - not ours / unknown / hold: resolve",IF(OR(COUNTIF(Summary!$C$4:$R$4,H21)&gt;0,AND(A21="Philly",COUNTIF(Summary!$C$5:$R$5,H21)&gt;0),AND(A21="TUR",COUNTIF(Summary!$C$6:$R$6,H21)&gt;0),AND(A21="Leading Edge",COUNTIF(Summary!$C$7:$R$7,H21)&gt;0)),"Fee amount - presumed company revenue",IF(H21&lt;=Summary!$B$8,"Small amount - likely fee, review","Larger amount - likely includes agent commission")))</f>
        <v>Larger amount - likely includes agent commission</v>
      </c>
      <c r="O21" s="12" t="n">
        <f aca="false">IFERROR(INDEX('State Rules'!$C$5:$C$11,MATCH($B21,'State Rules'!$A$5:$A$11,0)),"")</f>
        <v>1</v>
      </c>
      <c r="P21" s="22" t="n">
        <f aca="false">IF(OR(O21="",E21=""),"",EDATE(E21,12*O21))</f>
        <v>45841</v>
      </c>
      <c r="Q21" s="22" t="n">
        <f aca="false">IF(E21="","",IFERROR(EDATE(E21,12*INDEX('State Rules'!$E$5:$E$11,MATCH($B21,'State Rules'!$A$5:$A$11,0))),""))</f>
        <v>46571</v>
      </c>
      <c r="R21" s="11" t="str">
        <f aca="false">IF(P21="","",IFERROR(IF(P21&lt;=INDEX('State Rules'!$I$5:$I$11,MATCH($B21,'State Rules'!$A$5:$A$11,0)),"Yes","No"),""))</f>
        <v>Yes</v>
      </c>
      <c r="S21" s="11" t="str">
        <f aca="false">IF(Q21="","",IFERROR(IF(Q21&lt;=INDEX('State Rules'!$I$5:$I$11,MATCH($B21,'State Rules'!$A$5:$A$11,0)),"Yes","No"),""))</f>
        <v>No</v>
      </c>
      <c r="T21" s="8"/>
      <c r="U21" s="8"/>
      <c r="V21" s="24"/>
      <c r="W21" s="24"/>
      <c r="X21" s="24"/>
      <c r="Y21" s="8"/>
      <c r="Z21" s="10" t="n">
        <f aca="false">IF(Q21="","",IF(Q21&lt;=$B$4,N(W21)+N(X21),0))</f>
        <v>0</v>
      </c>
      <c r="AA21" s="10" t="n">
        <f aca="false">IF(OR(LEFT(N21,6)="Larger",LEFT(N21,4)="Memo"),H21,0)</f>
        <v>1549</v>
      </c>
      <c r="AB21" s="12" t="str">
        <f aca="false">IFERROR(INDEX('State Rules'!$M$5:$M$11,MATCH($B21,'State Rules'!$A$5:$A$11,0)),"")</f>
        <v>LONG</v>
      </c>
      <c r="AC21" s="22" t="n">
        <f aca="false">IF(AB21="SHORT",P21,IF(AB21="LONG",Q21,""))</f>
        <v>46571</v>
      </c>
      <c r="AD21" s="11" t="str">
        <f aca="false">IF(AB21="SHORT",R21,IF(AB21="LONG",S21,""))</f>
        <v>No</v>
      </c>
    </row>
    <row r="22" customFormat="false" ht="15" hidden="false" customHeight="false" outlineLevel="0" collapsed="false">
      <c r="A22" s="11" t="s">
        <v>37</v>
      </c>
      <c r="B22" s="12" t="str">
        <f aca="false">IF(U22&lt;&gt;"",U22,IFERROR(INDEX(Summary!$B$11:$B$18,MATCH($A22,Summary!$A$11:$A$18,0)),""))</f>
        <v>TX</v>
      </c>
      <c r="C22" s="11" t="s">
        <v>37</v>
      </c>
      <c r="D22" s="11" t="n">
        <v>36</v>
      </c>
      <c r="E22" s="22" t="n">
        <v>45485</v>
      </c>
      <c r="F22" s="11" t="s">
        <v>135</v>
      </c>
      <c r="G22" s="11" t="s">
        <v>136</v>
      </c>
      <c r="H22" s="10" t="n">
        <v>609.24</v>
      </c>
      <c r="I22" s="11"/>
      <c r="J22" s="11" t="s">
        <v>101</v>
      </c>
      <c r="K22" s="23" t="n">
        <f aca="false">IF(E22="","",($B$4-E22)/365.25)</f>
        <v>2.23408624229979</v>
      </c>
      <c r="L22" s="11" t="str">
        <f aca="false">IF(K22="","no date",IF(K22&lt;1,"0-1 yrs",IF(K22&lt;2,"1-2 yrs",IF(K22&lt;3,"2-3 yrs",IF(K22&lt;5,"3-5 yrs","5+ yrs")))))</f>
        <v>2-3 yrs</v>
      </c>
      <c r="M22" s="11" t="s">
        <v>101</v>
      </c>
      <c r="N22" s="12" t="str">
        <f aca="false">IF(M22="Yes","Memo flag - not ours / unknown / hold: resolve",IF(OR(COUNTIF(Summary!$C$4:$R$4,H22)&gt;0,AND(A22="Philly",COUNTIF(Summary!$C$5:$R$5,H22)&gt;0),AND(A22="TUR",COUNTIF(Summary!$C$6:$R$6,H22)&gt;0),AND(A22="Leading Edge",COUNTIF(Summary!$C$7:$R$7,H22)&gt;0)),"Fee amount - presumed company revenue",IF(H22&lt;=Summary!$B$8,"Small amount - likely fee, review","Larger amount - likely includes agent commission")))</f>
        <v>Larger amount - likely includes agent commission</v>
      </c>
      <c r="O22" s="12" t="n">
        <f aca="false">IFERROR(INDEX('State Rules'!$C$5:$C$11,MATCH($B22,'State Rules'!$A$5:$A$11,0)),"")</f>
        <v>1</v>
      </c>
      <c r="P22" s="22" t="n">
        <f aca="false">IF(OR(O22="",E22=""),"",EDATE(E22,12*O22))</f>
        <v>45850</v>
      </c>
      <c r="Q22" s="22" t="n">
        <f aca="false">IF(E22="","",IFERROR(EDATE(E22,12*INDEX('State Rules'!$E$5:$E$11,MATCH($B22,'State Rules'!$A$5:$A$11,0))),""))</f>
        <v>46580</v>
      </c>
      <c r="R22" s="11" t="str">
        <f aca="false">IF(P22="","",IFERROR(IF(P22&lt;=INDEX('State Rules'!$I$5:$I$11,MATCH($B22,'State Rules'!$A$5:$A$11,0)),"Yes","No"),""))</f>
        <v>Yes</v>
      </c>
      <c r="S22" s="11" t="str">
        <f aca="false">IF(Q22="","",IFERROR(IF(Q22&lt;=INDEX('State Rules'!$I$5:$I$11,MATCH($B22,'State Rules'!$A$5:$A$11,0)),"Yes","No"),""))</f>
        <v>No</v>
      </c>
      <c r="T22" s="8"/>
      <c r="U22" s="8"/>
      <c r="V22" s="24"/>
      <c r="W22" s="24"/>
      <c r="X22" s="24"/>
      <c r="Y22" s="8"/>
      <c r="Z22" s="10" t="n">
        <f aca="false">IF(Q22="","",IF(Q22&lt;=$B$4,N(W22)+N(X22),0))</f>
        <v>0</v>
      </c>
      <c r="AA22" s="10" t="n">
        <f aca="false">IF(OR(LEFT(N22,6)="Larger",LEFT(N22,4)="Memo"),H22,0)</f>
        <v>609.24</v>
      </c>
      <c r="AB22" s="12" t="str">
        <f aca="false">IFERROR(INDEX('State Rules'!$M$5:$M$11,MATCH($B22,'State Rules'!$A$5:$A$11,0)),"")</f>
        <v>LONG</v>
      </c>
      <c r="AC22" s="22" t="n">
        <f aca="false">IF(AB22="SHORT",P22,IF(AB22="LONG",Q22,""))</f>
        <v>46580</v>
      </c>
      <c r="AD22" s="11" t="str">
        <f aca="false">IF(AB22="SHORT",R22,IF(AB22="LONG",S22,""))</f>
        <v>No</v>
      </c>
    </row>
    <row r="23" customFormat="false" ht="15" hidden="false" customHeight="false" outlineLevel="0" collapsed="false">
      <c r="A23" s="11" t="s">
        <v>37</v>
      </c>
      <c r="B23" s="12" t="str">
        <f aca="false">IF(U23&lt;&gt;"",U23,IFERROR(INDEX(Summary!$B$11:$B$18,MATCH($A23,Summary!$A$11:$A$18,0)),""))</f>
        <v>TX</v>
      </c>
      <c r="C23" s="11" t="s">
        <v>37</v>
      </c>
      <c r="D23" s="11" t="n">
        <v>37</v>
      </c>
      <c r="E23" s="22" t="n">
        <v>45488</v>
      </c>
      <c r="F23" s="11" t="s">
        <v>137</v>
      </c>
      <c r="G23" s="11" t="s">
        <v>138</v>
      </c>
      <c r="H23" s="10" t="n">
        <v>644</v>
      </c>
      <c r="I23" s="11"/>
      <c r="J23" s="11" t="s">
        <v>101</v>
      </c>
      <c r="K23" s="23" t="n">
        <f aca="false">IF(E23="","",($B$4-E23)/365.25)</f>
        <v>2.2258726899384</v>
      </c>
      <c r="L23" s="11" t="str">
        <f aca="false">IF(K23="","no date",IF(K23&lt;1,"0-1 yrs",IF(K23&lt;2,"1-2 yrs",IF(K23&lt;3,"2-3 yrs",IF(K23&lt;5,"3-5 yrs","5+ yrs")))))</f>
        <v>2-3 yrs</v>
      </c>
      <c r="M23" s="11" t="s">
        <v>101</v>
      </c>
      <c r="N23" s="12" t="str">
        <f aca="false">IF(M23="Yes","Memo flag - not ours / unknown / hold: resolve",IF(OR(COUNTIF(Summary!$C$4:$R$4,H23)&gt;0,AND(A23="Philly",COUNTIF(Summary!$C$5:$R$5,H23)&gt;0),AND(A23="TUR",COUNTIF(Summary!$C$6:$R$6,H23)&gt;0),AND(A23="Leading Edge",COUNTIF(Summary!$C$7:$R$7,H23)&gt;0)),"Fee amount - presumed company revenue",IF(H23&lt;=Summary!$B$8,"Small amount - likely fee, review","Larger amount - likely includes agent commission")))</f>
        <v>Fee amount - presumed company revenue</v>
      </c>
      <c r="O23" s="12" t="n">
        <f aca="false">IFERROR(INDEX('State Rules'!$C$5:$C$11,MATCH($B23,'State Rules'!$A$5:$A$11,0)),"")</f>
        <v>1</v>
      </c>
      <c r="P23" s="22" t="n">
        <f aca="false">IF(OR(O23="",E23=""),"",EDATE(E23,12*O23))</f>
        <v>45853</v>
      </c>
      <c r="Q23" s="22" t="n">
        <f aca="false">IF(E23="","",IFERROR(EDATE(E23,12*INDEX('State Rules'!$E$5:$E$11,MATCH($B23,'State Rules'!$A$5:$A$11,0))),""))</f>
        <v>46583</v>
      </c>
      <c r="R23" s="11" t="str">
        <f aca="false">IF(P23="","",IFERROR(IF(P23&lt;=INDEX('State Rules'!$I$5:$I$11,MATCH($B23,'State Rules'!$A$5:$A$11,0)),"Yes","No"),""))</f>
        <v>Yes</v>
      </c>
      <c r="S23" s="11" t="str">
        <f aca="false">IF(Q23="","",IFERROR(IF(Q23&lt;=INDEX('State Rules'!$I$5:$I$11,MATCH($B23,'State Rules'!$A$5:$A$11,0)),"Yes","No"),""))</f>
        <v>No</v>
      </c>
      <c r="T23" s="8"/>
      <c r="U23" s="8"/>
      <c r="V23" s="24"/>
      <c r="W23" s="24"/>
      <c r="X23" s="24"/>
      <c r="Y23" s="8"/>
      <c r="Z23" s="10" t="n">
        <f aca="false">IF(Q23="","",IF(Q23&lt;=$B$4,N(W23)+N(X23),0))</f>
        <v>0</v>
      </c>
      <c r="AA23" s="10" t="n">
        <f aca="false">IF(OR(LEFT(N23,6)="Larger",LEFT(N23,4)="Memo"),H23,0)</f>
        <v>0</v>
      </c>
      <c r="AB23" s="12" t="str">
        <f aca="false">IFERROR(INDEX('State Rules'!$M$5:$M$11,MATCH($B23,'State Rules'!$A$5:$A$11,0)),"")</f>
        <v>LONG</v>
      </c>
      <c r="AC23" s="22" t="n">
        <f aca="false">IF(AB23="SHORT",P23,IF(AB23="LONG",Q23,""))</f>
        <v>46583</v>
      </c>
      <c r="AD23" s="11" t="str">
        <f aca="false">IF(AB23="SHORT",R23,IF(AB23="LONG",S23,""))</f>
        <v>No</v>
      </c>
    </row>
    <row r="24" customFormat="false" ht="15" hidden="false" customHeight="false" outlineLevel="0" collapsed="false">
      <c r="A24" s="11" t="s">
        <v>37</v>
      </c>
      <c r="B24" s="12" t="str">
        <f aca="false">IF(U24&lt;&gt;"",U24,IFERROR(INDEX(Summary!$B$11:$B$18,MATCH($A24,Summary!$A$11:$A$18,0)),""))</f>
        <v>TX</v>
      </c>
      <c r="C24" s="11" t="s">
        <v>37</v>
      </c>
      <c r="D24" s="11" t="n">
        <v>38</v>
      </c>
      <c r="E24" s="22" t="n">
        <v>45506</v>
      </c>
      <c r="F24" s="11" t="s">
        <v>139</v>
      </c>
      <c r="G24" s="11"/>
      <c r="H24" s="10" t="n">
        <v>1044</v>
      </c>
      <c r="I24" s="11"/>
      <c r="J24" s="11" t="s">
        <v>101</v>
      </c>
      <c r="K24" s="23" t="n">
        <f aca="false">IF(E24="","",($B$4-E24)/365.25)</f>
        <v>2.17659137577002</v>
      </c>
      <c r="L24" s="11" t="str">
        <f aca="false">IF(K24="","no date",IF(K24&lt;1,"0-1 yrs",IF(K24&lt;2,"1-2 yrs",IF(K24&lt;3,"2-3 yrs",IF(K24&lt;5,"3-5 yrs","5+ yrs")))))</f>
        <v>2-3 yrs</v>
      </c>
      <c r="M24" s="11" t="s">
        <v>101</v>
      </c>
      <c r="N24" s="12" t="str">
        <f aca="false">IF(M24="Yes","Memo flag - not ours / unknown / hold: resolve",IF(OR(COUNTIF(Summary!$C$4:$R$4,H24)&gt;0,AND(A24="Philly",COUNTIF(Summary!$C$5:$R$5,H24)&gt;0),AND(A24="TUR",COUNTIF(Summary!$C$6:$R$6,H24)&gt;0),AND(A24="Leading Edge",COUNTIF(Summary!$C$7:$R$7,H24)&gt;0)),"Fee amount - presumed company revenue",IF(H24&lt;=Summary!$B$8,"Small amount - likely fee, review","Larger amount - likely includes agent commission")))</f>
        <v>Fee amount - presumed company revenue</v>
      </c>
      <c r="O24" s="12" t="n">
        <f aca="false">IFERROR(INDEX('State Rules'!$C$5:$C$11,MATCH($B24,'State Rules'!$A$5:$A$11,0)),"")</f>
        <v>1</v>
      </c>
      <c r="P24" s="22" t="n">
        <f aca="false">IF(OR(O24="",E24=""),"",EDATE(E24,12*O24))</f>
        <v>45871</v>
      </c>
      <c r="Q24" s="22" t="n">
        <f aca="false">IF(E24="","",IFERROR(EDATE(E24,12*INDEX('State Rules'!$E$5:$E$11,MATCH($B24,'State Rules'!$A$5:$A$11,0))),""))</f>
        <v>46601</v>
      </c>
      <c r="R24" s="11" t="str">
        <f aca="false">IF(P24="","",IFERROR(IF(P24&lt;=INDEX('State Rules'!$I$5:$I$11,MATCH($B24,'State Rules'!$A$5:$A$11,0)),"Yes","No"),""))</f>
        <v>Yes</v>
      </c>
      <c r="S24" s="11" t="str">
        <f aca="false">IF(Q24="","",IFERROR(IF(Q24&lt;=INDEX('State Rules'!$I$5:$I$11,MATCH($B24,'State Rules'!$A$5:$A$11,0)),"Yes","No"),""))</f>
        <v>No</v>
      </c>
      <c r="T24" s="8"/>
      <c r="U24" s="8"/>
      <c r="V24" s="24"/>
      <c r="W24" s="24"/>
      <c r="X24" s="24"/>
      <c r="Y24" s="8"/>
      <c r="Z24" s="10" t="n">
        <f aca="false">IF(Q24="","",IF(Q24&lt;=$B$4,N(W24)+N(X24),0))</f>
        <v>0</v>
      </c>
      <c r="AA24" s="10" t="n">
        <f aca="false">IF(OR(LEFT(N24,6)="Larger",LEFT(N24,4)="Memo"),H24,0)</f>
        <v>0</v>
      </c>
      <c r="AB24" s="12" t="str">
        <f aca="false">IFERROR(INDEX('State Rules'!$M$5:$M$11,MATCH($B24,'State Rules'!$A$5:$A$11,0)),"")</f>
        <v>LONG</v>
      </c>
      <c r="AC24" s="22" t="n">
        <f aca="false">IF(AB24="SHORT",P24,IF(AB24="LONG",Q24,""))</f>
        <v>46601</v>
      </c>
      <c r="AD24" s="11" t="str">
        <f aca="false">IF(AB24="SHORT",R24,IF(AB24="LONG",S24,""))</f>
        <v>No</v>
      </c>
    </row>
    <row r="25" customFormat="false" ht="15" hidden="false" customHeight="false" outlineLevel="0" collapsed="false">
      <c r="A25" s="11" t="s">
        <v>37</v>
      </c>
      <c r="B25" s="12" t="str">
        <f aca="false">IF(U25&lt;&gt;"",U25,IFERROR(INDEX(Summary!$B$11:$B$18,MATCH($A25,Summary!$A$11:$A$18,0)),""))</f>
        <v>TX</v>
      </c>
      <c r="C25" s="11" t="s">
        <v>37</v>
      </c>
      <c r="D25" s="11" t="n">
        <v>39</v>
      </c>
      <c r="E25" s="22" t="n">
        <v>45579</v>
      </c>
      <c r="F25" s="11" t="s">
        <v>140</v>
      </c>
      <c r="G25" s="11"/>
      <c r="H25" s="10" t="n">
        <v>449.75</v>
      </c>
      <c r="I25" s="11" t="s">
        <v>141</v>
      </c>
      <c r="J25" s="11" t="s">
        <v>101</v>
      </c>
      <c r="K25" s="23" t="n">
        <f aca="false">IF(E25="","",($B$4-E25)/365.25)</f>
        <v>1.97672826830938</v>
      </c>
      <c r="L25" s="11" t="str">
        <f aca="false">IF(K25="","no date",IF(K25&lt;1,"0-1 yrs",IF(K25&lt;2,"1-2 yrs",IF(K25&lt;3,"2-3 yrs",IF(K25&lt;5,"3-5 yrs","5+ yrs")))))</f>
        <v>1-2 yrs</v>
      </c>
      <c r="M25" s="25" t="s">
        <v>112</v>
      </c>
      <c r="N25" s="12" t="str">
        <f aca="false">IF(M25="Yes","Memo flag - not ours / unknown / hold: resolve",IF(OR(COUNTIF(Summary!$C$4:$R$4,H25)&gt;0,AND(A25="Philly",COUNTIF(Summary!$C$5:$R$5,H25)&gt;0),AND(A25="TUR",COUNTIF(Summary!$C$6:$R$6,H25)&gt;0),AND(A25="Leading Edge",COUNTIF(Summary!$C$7:$R$7,H25)&gt;0)),"Fee amount - presumed company revenue",IF(H25&lt;=Summary!$B$8,"Small amount - likely fee, review","Larger amount - likely includes agent commission")))</f>
        <v>Memo flag - not ours / unknown / hold: resolve</v>
      </c>
      <c r="O25" s="12" t="n">
        <f aca="false">IFERROR(INDEX('State Rules'!$C$5:$C$11,MATCH($B25,'State Rules'!$A$5:$A$11,0)),"")</f>
        <v>1</v>
      </c>
      <c r="P25" s="22" t="n">
        <f aca="false">IF(OR(O25="",E25=""),"",EDATE(E25,12*O25))</f>
        <v>45944</v>
      </c>
      <c r="Q25" s="22" t="n">
        <f aca="false">IF(E25="","",IFERROR(EDATE(E25,12*INDEX('State Rules'!$E$5:$E$11,MATCH($B25,'State Rules'!$A$5:$A$11,0))),""))</f>
        <v>46674</v>
      </c>
      <c r="R25" s="11" t="str">
        <f aca="false">IF(P25="","",IFERROR(IF(P25&lt;=INDEX('State Rules'!$I$5:$I$11,MATCH($B25,'State Rules'!$A$5:$A$11,0)),"Yes","No"),""))</f>
        <v>Yes</v>
      </c>
      <c r="S25" s="11" t="str">
        <f aca="false">IF(Q25="","",IFERROR(IF(Q25&lt;=INDEX('State Rules'!$I$5:$I$11,MATCH($B25,'State Rules'!$A$5:$A$11,0)),"Yes","No"),""))</f>
        <v>No</v>
      </c>
      <c r="T25" s="8"/>
      <c r="U25" s="8"/>
      <c r="V25" s="24"/>
      <c r="W25" s="24"/>
      <c r="X25" s="24"/>
      <c r="Y25" s="8"/>
      <c r="Z25" s="10" t="n">
        <f aca="false">IF(Q25="","",IF(Q25&lt;=$B$4,N(W25)+N(X25),0))</f>
        <v>0</v>
      </c>
      <c r="AA25" s="10" t="n">
        <f aca="false">IF(OR(LEFT(N25,6)="Larger",LEFT(N25,4)="Memo"),H25,0)</f>
        <v>449.75</v>
      </c>
      <c r="AB25" s="12" t="str">
        <f aca="false">IFERROR(INDEX('State Rules'!$M$5:$M$11,MATCH($B25,'State Rules'!$A$5:$A$11,0)),"")</f>
        <v>LONG</v>
      </c>
      <c r="AC25" s="22" t="n">
        <f aca="false">IF(AB25="SHORT",P25,IF(AB25="LONG",Q25,""))</f>
        <v>46674</v>
      </c>
      <c r="AD25" s="11" t="str">
        <f aca="false">IF(AB25="SHORT",R25,IF(AB25="LONG",S25,""))</f>
        <v>No</v>
      </c>
    </row>
    <row r="26" customFormat="false" ht="15" hidden="false" customHeight="false" outlineLevel="0" collapsed="false">
      <c r="A26" s="11" t="s">
        <v>37</v>
      </c>
      <c r="B26" s="12" t="str">
        <f aca="false">IF(U26&lt;&gt;"",U26,IFERROR(INDEX(Summary!$B$11:$B$18,MATCH($A26,Summary!$A$11:$A$18,0)),""))</f>
        <v>TX</v>
      </c>
      <c r="C26" s="11" t="s">
        <v>37</v>
      </c>
      <c r="D26" s="11" t="n">
        <v>40</v>
      </c>
      <c r="E26" s="22" t="n">
        <v>45611</v>
      </c>
      <c r="F26" s="11" t="s">
        <v>142</v>
      </c>
      <c r="G26" s="11"/>
      <c r="H26" s="10" t="n">
        <v>800</v>
      </c>
      <c r="I26" s="11" t="s">
        <v>143</v>
      </c>
      <c r="J26" s="11" t="s">
        <v>101</v>
      </c>
      <c r="K26" s="23" t="n">
        <f aca="false">IF(E26="","",($B$4-E26)/365.25)</f>
        <v>1.88911704312115</v>
      </c>
      <c r="L26" s="11" t="str">
        <f aca="false">IF(K26="","no date",IF(K26&lt;1,"0-1 yrs",IF(K26&lt;2,"1-2 yrs",IF(K26&lt;3,"2-3 yrs",IF(K26&lt;5,"3-5 yrs","5+ yrs")))))</f>
        <v>1-2 yrs</v>
      </c>
      <c r="M26" s="25" t="s">
        <v>112</v>
      </c>
      <c r="N26" s="12" t="str">
        <f aca="false">IF(M26="Yes","Memo flag - not ours / unknown / hold: resolve",IF(OR(COUNTIF(Summary!$C$4:$R$4,H26)&gt;0,AND(A26="Philly",COUNTIF(Summary!$C$5:$R$5,H26)&gt;0),AND(A26="TUR",COUNTIF(Summary!$C$6:$R$6,H26)&gt;0),AND(A26="Leading Edge",COUNTIF(Summary!$C$7:$R$7,H26)&gt;0)),"Fee amount - presumed company revenue",IF(H26&lt;=Summary!$B$8,"Small amount - likely fee, review","Larger amount - likely includes agent commission")))</f>
        <v>Memo flag - not ours / unknown / hold: resolve</v>
      </c>
      <c r="O26" s="12" t="n">
        <f aca="false">IFERROR(INDEX('State Rules'!$C$5:$C$11,MATCH($B26,'State Rules'!$A$5:$A$11,0)),"")</f>
        <v>1</v>
      </c>
      <c r="P26" s="22" t="n">
        <f aca="false">IF(OR(O26="",E26=""),"",EDATE(E26,12*O26))</f>
        <v>45976</v>
      </c>
      <c r="Q26" s="22" t="n">
        <f aca="false">IF(E26="","",IFERROR(EDATE(E26,12*INDEX('State Rules'!$E$5:$E$11,MATCH($B26,'State Rules'!$A$5:$A$11,0))),""))</f>
        <v>46706</v>
      </c>
      <c r="R26" s="11" t="str">
        <f aca="false">IF(P26="","",IFERROR(IF(P26&lt;=INDEX('State Rules'!$I$5:$I$11,MATCH($B26,'State Rules'!$A$5:$A$11,0)),"Yes","No"),""))</f>
        <v>Yes</v>
      </c>
      <c r="S26" s="11" t="str">
        <f aca="false">IF(Q26="","",IFERROR(IF(Q26&lt;=INDEX('State Rules'!$I$5:$I$11,MATCH($B26,'State Rules'!$A$5:$A$11,0)),"Yes","No"),""))</f>
        <v>No</v>
      </c>
      <c r="T26" s="8"/>
      <c r="U26" s="8"/>
      <c r="V26" s="24"/>
      <c r="W26" s="24"/>
      <c r="X26" s="24"/>
      <c r="Y26" s="8"/>
      <c r="Z26" s="10" t="n">
        <f aca="false">IF(Q26="","",IF(Q26&lt;=$B$4,N(W26)+N(X26),0))</f>
        <v>0</v>
      </c>
      <c r="AA26" s="10" t="n">
        <f aca="false">IF(OR(LEFT(N26,6)="Larger",LEFT(N26,4)="Memo"),H26,0)</f>
        <v>800</v>
      </c>
      <c r="AB26" s="12" t="str">
        <f aca="false">IFERROR(INDEX('State Rules'!$M$5:$M$11,MATCH($B26,'State Rules'!$A$5:$A$11,0)),"")</f>
        <v>LONG</v>
      </c>
      <c r="AC26" s="22" t="n">
        <f aca="false">IF(AB26="SHORT",P26,IF(AB26="LONG",Q26,""))</f>
        <v>46706</v>
      </c>
      <c r="AD26" s="11" t="str">
        <f aca="false">IF(AB26="SHORT",R26,IF(AB26="LONG",S26,""))</f>
        <v>No</v>
      </c>
    </row>
    <row r="27" customFormat="false" ht="15" hidden="false" customHeight="false" outlineLevel="0" collapsed="false">
      <c r="A27" s="11" t="s">
        <v>37</v>
      </c>
      <c r="B27" s="12" t="str">
        <f aca="false">IF(U27&lt;&gt;"",U27,IFERROR(INDEX(Summary!$B$11:$B$18,MATCH($A27,Summary!$A$11:$A$18,0)),""))</f>
        <v>TX</v>
      </c>
      <c r="C27" s="11" t="s">
        <v>37</v>
      </c>
      <c r="D27" s="11" t="n">
        <v>41</v>
      </c>
      <c r="E27" s="22" t="n">
        <v>45615</v>
      </c>
      <c r="F27" s="11" t="s">
        <v>144</v>
      </c>
      <c r="G27" s="11"/>
      <c r="H27" s="10" t="n">
        <v>4.5</v>
      </c>
      <c r="I27" s="11" t="s">
        <v>145</v>
      </c>
      <c r="J27" s="11" t="s">
        <v>101</v>
      </c>
      <c r="K27" s="23" t="n">
        <f aca="false">IF(E27="","",($B$4-E27)/365.25)</f>
        <v>1.87816563997262</v>
      </c>
      <c r="L27" s="11" t="str">
        <f aca="false">IF(K27="","no date",IF(K27&lt;1,"0-1 yrs",IF(K27&lt;2,"1-2 yrs",IF(K27&lt;3,"2-3 yrs",IF(K27&lt;5,"3-5 yrs","5+ yrs")))))</f>
        <v>1-2 yrs</v>
      </c>
      <c r="M27" s="25" t="s">
        <v>112</v>
      </c>
      <c r="N27" s="12" t="str">
        <f aca="false">IF(M27="Yes","Memo flag - not ours / unknown / hold: resolve",IF(OR(COUNTIF(Summary!$C$4:$R$4,H27)&gt;0,AND(A27="Philly",COUNTIF(Summary!$C$5:$R$5,H27)&gt;0),AND(A27="TUR",COUNTIF(Summary!$C$6:$R$6,H27)&gt;0),AND(A27="Leading Edge",COUNTIF(Summary!$C$7:$R$7,H27)&gt;0)),"Fee amount - presumed company revenue",IF(H27&lt;=Summary!$B$8,"Small amount - likely fee, review","Larger amount - likely includes agent commission")))</f>
        <v>Memo flag - not ours / unknown / hold: resolve</v>
      </c>
      <c r="O27" s="12" t="n">
        <f aca="false">IFERROR(INDEX('State Rules'!$C$5:$C$11,MATCH($B27,'State Rules'!$A$5:$A$11,0)),"")</f>
        <v>1</v>
      </c>
      <c r="P27" s="22" t="n">
        <f aca="false">IF(OR(O27="",E27=""),"",EDATE(E27,12*O27))</f>
        <v>45980</v>
      </c>
      <c r="Q27" s="22" t="n">
        <f aca="false">IF(E27="","",IFERROR(EDATE(E27,12*INDEX('State Rules'!$E$5:$E$11,MATCH($B27,'State Rules'!$A$5:$A$11,0))),""))</f>
        <v>46710</v>
      </c>
      <c r="R27" s="11" t="str">
        <f aca="false">IF(P27="","",IFERROR(IF(P27&lt;=INDEX('State Rules'!$I$5:$I$11,MATCH($B27,'State Rules'!$A$5:$A$11,0)),"Yes","No"),""))</f>
        <v>Yes</v>
      </c>
      <c r="S27" s="11" t="str">
        <f aca="false">IF(Q27="","",IFERROR(IF(Q27&lt;=INDEX('State Rules'!$I$5:$I$11,MATCH($B27,'State Rules'!$A$5:$A$11,0)),"Yes","No"),""))</f>
        <v>No</v>
      </c>
      <c r="T27" s="8"/>
      <c r="U27" s="8"/>
      <c r="V27" s="24"/>
      <c r="W27" s="24"/>
      <c r="X27" s="24"/>
      <c r="Y27" s="8"/>
      <c r="Z27" s="10" t="n">
        <f aca="false">IF(Q27="","",IF(Q27&lt;=$B$4,N(W27)+N(X27),0))</f>
        <v>0</v>
      </c>
      <c r="AA27" s="10" t="n">
        <f aca="false">IF(OR(LEFT(N27,6)="Larger",LEFT(N27,4)="Memo"),H27,0)</f>
        <v>4.5</v>
      </c>
      <c r="AB27" s="12" t="str">
        <f aca="false">IFERROR(INDEX('State Rules'!$M$5:$M$11,MATCH($B27,'State Rules'!$A$5:$A$11,0)),"")</f>
        <v>LONG</v>
      </c>
      <c r="AC27" s="22" t="n">
        <f aca="false">IF(AB27="SHORT",P27,IF(AB27="LONG",Q27,""))</f>
        <v>46710</v>
      </c>
      <c r="AD27" s="11" t="str">
        <f aca="false">IF(AB27="SHORT",R27,IF(AB27="LONG",S27,""))</f>
        <v>No</v>
      </c>
    </row>
    <row r="28" customFormat="false" ht="15" hidden="false" customHeight="false" outlineLevel="0" collapsed="false">
      <c r="A28" s="11" t="s">
        <v>37</v>
      </c>
      <c r="B28" s="12" t="str">
        <f aca="false">IF(U28&lt;&gt;"",U28,IFERROR(INDEX(Summary!$B$11:$B$18,MATCH($A28,Summary!$A$11:$A$18,0)),""))</f>
        <v>TX</v>
      </c>
      <c r="C28" s="11" t="s">
        <v>37</v>
      </c>
      <c r="D28" s="11" t="n">
        <v>42</v>
      </c>
      <c r="E28" s="22" t="n">
        <v>45616</v>
      </c>
      <c r="F28" s="11" t="s">
        <v>146</v>
      </c>
      <c r="G28" s="11"/>
      <c r="H28" s="10" t="n">
        <v>2865</v>
      </c>
      <c r="I28" s="11" t="s">
        <v>147</v>
      </c>
      <c r="J28" s="11" t="s">
        <v>101</v>
      </c>
      <c r="K28" s="23" t="n">
        <f aca="false">IF(E28="","",($B$4-E28)/365.25)</f>
        <v>1.87542778918549</v>
      </c>
      <c r="L28" s="11" t="str">
        <f aca="false">IF(K28="","no date",IF(K28&lt;1,"0-1 yrs",IF(K28&lt;2,"1-2 yrs",IF(K28&lt;3,"2-3 yrs",IF(K28&lt;5,"3-5 yrs","5+ yrs")))))</f>
        <v>1-2 yrs</v>
      </c>
      <c r="M28" s="25" t="s">
        <v>112</v>
      </c>
      <c r="N28" s="12" t="str">
        <f aca="false">IF(M28="Yes","Memo flag - not ours / unknown / hold: resolve",IF(OR(COUNTIF(Summary!$C$4:$R$4,H28)&gt;0,AND(A28="Philly",COUNTIF(Summary!$C$5:$R$5,H28)&gt;0),AND(A28="TUR",COUNTIF(Summary!$C$6:$R$6,H28)&gt;0),AND(A28="Leading Edge",COUNTIF(Summary!$C$7:$R$7,H28)&gt;0)),"Fee amount - presumed company revenue",IF(H28&lt;=Summary!$B$8,"Small amount - likely fee, review","Larger amount - likely includes agent commission")))</f>
        <v>Memo flag - not ours / unknown / hold: resolve</v>
      </c>
      <c r="O28" s="12" t="n">
        <f aca="false">IFERROR(INDEX('State Rules'!$C$5:$C$11,MATCH($B28,'State Rules'!$A$5:$A$11,0)),"")</f>
        <v>1</v>
      </c>
      <c r="P28" s="22" t="n">
        <f aca="false">IF(OR(O28="",E28=""),"",EDATE(E28,12*O28))</f>
        <v>45981</v>
      </c>
      <c r="Q28" s="22" t="n">
        <f aca="false">IF(E28="","",IFERROR(EDATE(E28,12*INDEX('State Rules'!$E$5:$E$11,MATCH($B28,'State Rules'!$A$5:$A$11,0))),""))</f>
        <v>46711</v>
      </c>
      <c r="R28" s="11" t="str">
        <f aca="false">IF(P28="","",IFERROR(IF(P28&lt;=INDEX('State Rules'!$I$5:$I$11,MATCH($B28,'State Rules'!$A$5:$A$11,0)),"Yes","No"),""))</f>
        <v>Yes</v>
      </c>
      <c r="S28" s="11" t="str">
        <f aca="false">IF(Q28="","",IFERROR(IF(Q28&lt;=INDEX('State Rules'!$I$5:$I$11,MATCH($B28,'State Rules'!$A$5:$A$11,0)),"Yes","No"),""))</f>
        <v>No</v>
      </c>
      <c r="T28" s="8"/>
      <c r="U28" s="8"/>
      <c r="V28" s="24"/>
      <c r="W28" s="24"/>
      <c r="X28" s="24"/>
      <c r="Y28" s="8"/>
      <c r="Z28" s="10" t="n">
        <f aca="false">IF(Q28="","",IF(Q28&lt;=$B$4,N(W28)+N(X28),0))</f>
        <v>0</v>
      </c>
      <c r="AA28" s="10" t="n">
        <f aca="false">IF(OR(LEFT(N28,6)="Larger",LEFT(N28,4)="Memo"),H28,0)</f>
        <v>2865</v>
      </c>
      <c r="AB28" s="12" t="str">
        <f aca="false">IFERROR(INDEX('State Rules'!$M$5:$M$11,MATCH($B28,'State Rules'!$A$5:$A$11,0)),"")</f>
        <v>LONG</v>
      </c>
      <c r="AC28" s="22" t="n">
        <f aca="false">IF(AB28="SHORT",P28,IF(AB28="LONG",Q28,""))</f>
        <v>46711</v>
      </c>
      <c r="AD28" s="11" t="str">
        <f aca="false">IF(AB28="SHORT",R28,IF(AB28="LONG",S28,""))</f>
        <v>No</v>
      </c>
    </row>
    <row r="29" customFormat="false" ht="15" hidden="false" customHeight="false" outlineLevel="0" collapsed="false">
      <c r="A29" s="11" t="s">
        <v>37</v>
      </c>
      <c r="B29" s="12" t="str">
        <f aca="false">IF(U29&lt;&gt;"",U29,IFERROR(INDEX(Summary!$B$11:$B$18,MATCH($A29,Summary!$A$11:$A$18,0)),""))</f>
        <v>TX</v>
      </c>
      <c r="C29" s="11" t="s">
        <v>37</v>
      </c>
      <c r="D29" s="11" t="n">
        <v>43</v>
      </c>
      <c r="E29" s="22" t="n">
        <v>45708</v>
      </c>
      <c r="F29" s="11" t="s">
        <v>148</v>
      </c>
      <c r="G29" s="11"/>
      <c r="H29" s="10" t="n">
        <v>106.96</v>
      </c>
      <c r="I29" s="11"/>
      <c r="J29" s="11" t="s">
        <v>101</v>
      </c>
      <c r="K29" s="23" t="n">
        <f aca="false">IF(E29="","",($B$4-E29)/365.25)</f>
        <v>1.62354551676934</v>
      </c>
      <c r="L29" s="11" t="str">
        <f aca="false">IF(K29="","no date",IF(K29&lt;1,"0-1 yrs",IF(K29&lt;2,"1-2 yrs",IF(K29&lt;3,"2-3 yrs",IF(K29&lt;5,"3-5 yrs","5+ yrs")))))</f>
        <v>1-2 yrs</v>
      </c>
      <c r="M29" s="11" t="s">
        <v>101</v>
      </c>
      <c r="N29" s="12" t="str">
        <f aca="false">IF(M29="Yes","Memo flag - not ours / unknown / hold: resolve",IF(OR(COUNTIF(Summary!$C$4:$R$4,H29)&gt;0,AND(A29="Philly",COUNTIF(Summary!$C$5:$R$5,H29)&gt;0),AND(A29="TUR",COUNTIF(Summary!$C$6:$R$6,H29)&gt;0),AND(A29="Leading Edge",COUNTIF(Summary!$C$7:$R$7,H29)&gt;0)),"Fee amount - presumed company revenue",IF(H29&lt;=Summary!$B$8,"Small amount - likely fee, review","Larger amount - likely includes agent commission")))</f>
        <v>Small amount - likely fee, review</v>
      </c>
      <c r="O29" s="12" t="n">
        <f aca="false">IFERROR(INDEX('State Rules'!$C$5:$C$11,MATCH($B29,'State Rules'!$A$5:$A$11,0)),"")</f>
        <v>1</v>
      </c>
      <c r="P29" s="22" t="n">
        <f aca="false">IF(OR(O29="",E29=""),"",EDATE(E29,12*O29))</f>
        <v>46073</v>
      </c>
      <c r="Q29" s="22" t="n">
        <f aca="false">IF(E29="","",IFERROR(EDATE(E29,12*INDEX('State Rules'!$E$5:$E$11,MATCH($B29,'State Rules'!$A$5:$A$11,0))),""))</f>
        <v>46803</v>
      </c>
      <c r="R29" s="11" t="str">
        <f aca="false">IF(P29="","",IFERROR(IF(P29&lt;=INDEX('State Rules'!$I$5:$I$11,MATCH($B29,'State Rules'!$A$5:$A$11,0)),"Yes","No"),""))</f>
        <v>Yes</v>
      </c>
      <c r="S29" s="11" t="str">
        <f aca="false">IF(Q29="","",IFERROR(IF(Q29&lt;=INDEX('State Rules'!$I$5:$I$11,MATCH($B29,'State Rules'!$A$5:$A$11,0)),"Yes","No"),""))</f>
        <v>No</v>
      </c>
      <c r="T29" s="8"/>
      <c r="U29" s="8"/>
      <c r="V29" s="24"/>
      <c r="W29" s="24"/>
      <c r="X29" s="24"/>
      <c r="Y29" s="8"/>
      <c r="Z29" s="10" t="n">
        <f aca="false">IF(Q29="","",IF(Q29&lt;=$B$4,N(W29)+N(X29),0))</f>
        <v>0</v>
      </c>
      <c r="AA29" s="10" t="n">
        <f aca="false">IF(OR(LEFT(N29,6)="Larger",LEFT(N29,4)="Memo"),H29,0)</f>
        <v>0</v>
      </c>
      <c r="AB29" s="12" t="str">
        <f aca="false">IFERROR(INDEX('State Rules'!$M$5:$M$11,MATCH($B29,'State Rules'!$A$5:$A$11,0)),"")</f>
        <v>LONG</v>
      </c>
      <c r="AC29" s="22" t="n">
        <f aca="false">IF(AB29="SHORT",P29,IF(AB29="LONG",Q29,""))</f>
        <v>46803</v>
      </c>
      <c r="AD29" s="11" t="str">
        <f aca="false">IF(AB29="SHORT",R29,IF(AB29="LONG",S29,""))</f>
        <v>No</v>
      </c>
    </row>
    <row r="30" customFormat="false" ht="15" hidden="false" customHeight="false" outlineLevel="0" collapsed="false">
      <c r="A30" s="11" t="s">
        <v>37</v>
      </c>
      <c r="B30" s="12" t="str">
        <f aca="false">IF(U30&lt;&gt;"",U30,IFERROR(INDEX(Summary!$B$11:$B$18,MATCH($A30,Summary!$A$11:$A$18,0)),""))</f>
        <v>TX</v>
      </c>
      <c r="C30" s="11" t="s">
        <v>37</v>
      </c>
      <c r="D30" s="11" t="n">
        <v>44</v>
      </c>
      <c r="E30" s="22" t="n">
        <v>45716</v>
      </c>
      <c r="F30" s="11" t="s">
        <v>149</v>
      </c>
      <c r="G30" s="11"/>
      <c r="H30" s="10" t="n">
        <v>644</v>
      </c>
      <c r="I30" s="11" t="s">
        <v>150</v>
      </c>
      <c r="J30" s="11" t="s">
        <v>101</v>
      </c>
      <c r="K30" s="23" t="n">
        <f aca="false">IF(E30="","",($B$4-E30)/365.25)</f>
        <v>1.60164271047228</v>
      </c>
      <c r="L30" s="11" t="str">
        <f aca="false">IF(K30="","no date",IF(K30&lt;1,"0-1 yrs",IF(K30&lt;2,"1-2 yrs",IF(K30&lt;3,"2-3 yrs",IF(K30&lt;5,"3-5 yrs","5+ yrs")))))</f>
        <v>1-2 yrs</v>
      </c>
      <c r="M30" s="11" t="s">
        <v>101</v>
      </c>
      <c r="N30" s="12" t="str">
        <f aca="false">IF(M30="Yes","Memo flag - not ours / unknown / hold: resolve",IF(OR(COUNTIF(Summary!$C$4:$R$4,H30)&gt;0,AND(A30="Philly",COUNTIF(Summary!$C$5:$R$5,H30)&gt;0),AND(A30="TUR",COUNTIF(Summary!$C$6:$R$6,H30)&gt;0),AND(A30="Leading Edge",COUNTIF(Summary!$C$7:$R$7,H30)&gt;0)),"Fee amount - presumed company revenue",IF(H30&lt;=Summary!$B$8,"Small amount - likely fee, review","Larger amount - likely includes agent commission")))</f>
        <v>Fee amount - presumed company revenue</v>
      </c>
      <c r="O30" s="12" t="n">
        <f aca="false">IFERROR(INDEX('State Rules'!$C$5:$C$11,MATCH($B30,'State Rules'!$A$5:$A$11,0)),"")</f>
        <v>1</v>
      </c>
      <c r="P30" s="22" t="n">
        <f aca="false">IF(OR(O30="",E30=""),"",EDATE(E30,12*O30))</f>
        <v>46081</v>
      </c>
      <c r="Q30" s="22" t="n">
        <f aca="false">IF(E30="","",IFERROR(EDATE(E30,12*INDEX('State Rules'!$E$5:$E$11,MATCH($B30,'State Rules'!$A$5:$A$11,0))),""))</f>
        <v>46811</v>
      </c>
      <c r="R30" s="11" t="str">
        <f aca="false">IF(P30="","",IFERROR(IF(P30&lt;=INDEX('State Rules'!$I$5:$I$11,MATCH($B30,'State Rules'!$A$5:$A$11,0)),"Yes","No"),""))</f>
        <v>Yes</v>
      </c>
      <c r="S30" s="11" t="str">
        <f aca="false">IF(Q30="","",IFERROR(IF(Q30&lt;=INDEX('State Rules'!$I$5:$I$11,MATCH($B30,'State Rules'!$A$5:$A$11,0)),"Yes","No"),""))</f>
        <v>No</v>
      </c>
      <c r="T30" s="8"/>
      <c r="U30" s="8"/>
      <c r="V30" s="24"/>
      <c r="W30" s="24"/>
      <c r="X30" s="24"/>
      <c r="Y30" s="8"/>
      <c r="Z30" s="10" t="n">
        <f aca="false">IF(Q30="","",IF(Q30&lt;=$B$4,N(W30)+N(X30),0))</f>
        <v>0</v>
      </c>
      <c r="AA30" s="10" t="n">
        <f aca="false">IF(OR(LEFT(N30,6)="Larger",LEFT(N30,4)="Memo"),H30,0)</f>
        <v>0</v>
      </c>
      <c r="AB30" s="12" t="str">
        <f aca="false">IFERROR(INDEX('State Rules'!$M$5:$M$11,MATCH($B30,'State Rules'!$A$5:$A$11,0)),"")</f>
        <v>LONG</v>
      </c>
      <c r="AC30" s="22" t="n">
        <f aca="false">IF(AB30="SHORT",P30,IF(AB30="LONG",Q30,""))</f>
        <v>46811</v>
      </c>
      <c r="AD30" s="11" t="str">
        <f aca="false">IF(AB30="SHORT",R30,IF(AB30="LONG",S30,""))</f>
        <v>No</v>
      </c>
    </row>
    <row r="31" customFormat="false" ht="15" hidden="false" customHeight="false" outlineLevel="0" collapsed="false">
      <c r="A31" s="11" t="s">
        <v>37</v>
      </c>
      <c r="B31" s="12" t="str">
        <f aca="false">IF(U31&lt;&gt;"",U31,IFERROR(INDEX(Summary!$B$11:$B$18,MATCH($A31,Summary!$A$11:$A$18,0)),""))</f>
        <v>TX</v>
      </c>
      <c r="C31" s="11" t="s">
        <v>37</v>
      </c>
      <c r="D31" s="11" t="n">
        <v>45</v>
      </c>
      <c r="E31" s="22" t="n">
        <v>45740</v>
      </c>
      <c r="F31" s="11" t="s">
        <v>151</v>
      </c>
      <c r="G31" s="11"/>
      <c r="H31" s="10" t="n">
        <v>750</v>
      </c>
      <c r="I31" s="11" t="s">
        <v>152</v>
      </c>
      <c r="J31" s="11" t="s">
        <v>101</v>
      </c>
      <c r="K31" s="23" t="n">
        <f aca="false">IF(E31="","",($B$4-E31)/365.25)</f>
        <v>1.53593429158111</v>
      </c>
      <c r="L31" s="11" t="str">
        <f aca="false">IF(K31="","no date",IF(K31&lt;1,"0-1 yrs",IF(K31&lt;2,"1-2 yrs",IF(K31&lt;3,"2-3 yrs",IF(K31&lt;5,"3-5 yrs","5+ yrs")))))</f>
        <v>1-2 yrs</v>
      </c>
      <c r="M31" s="11" t="s">
        <v>101</v>
      </c>
      <c r="N31" s="12" t="str">
        <f aca="false">IF(M31="Yes","Memo flag - not ours / unknown / hold: resolve",IF(OR(COUNTIF(Summary!$C$4:$R$4,H31)&gt;0,AND(A31="Philly",COUNTIF(Summary!$C$5:$R$5,H31)&gt;0),AND(A31="TUR",COUNTIF(Summary!$C$6:$R$6,H31)&gt;0),AND(A31="Leading Edge",COUNTIF(Summary!$C$7:$R$7,H31)&gt;0)),"Fee amount - presumed company revenue",IF(H31&lt;=Summary!$B$8,"Small amount - likely fee, review","Larger amount - likely includes agent commission")))</f>
        <v>Larger amount - likely includes agent commission</v>
      </c>
      <c r="O31" s="12" t="n">
        <f aca="false">IFERROR(INDEX('State Rules'!$C$5:$C$11,MATCH($B31,'State Rules'!$A$5:$A$11,0)),"")</f>
        <v>1</v>
      </c>
      <c r="P31" s="22" t="n">
        <f aca="false">IF(OR(O31="",E31=""),"",EDATE(E31,12*O31))</f>
        <v>46105</v>
      </c>
      <c r="Q31" s="22" t="n">
        <f aca="false">IF(E31="","",IFERROR(EDATE(E31,12*INDEX('State Rules'!$E$5:$E$11,MATCH($B31,'State Rules'!$A$5:$A$11,0))),""))</f>
        <v>46836</v>
      </c>
      <c r="R31" s="11" t="str">
        <f aca="false">IF(P31="","",IFERROR(IF(P31&lt;=INDEX('State Rules'!$I$5:$I$11,MATCH($B31,'State Rules'!$A$5:$A$11,0)),"Yes","No"),""))</f>
        <v>Yes</v>
      </c>
      <c r="S31" s="11" t="str">
        <f aca="false">IF(Q31="","",IFERROR(IF(Q31&lt;=INDEX('State Rules'!$I$5:$I$11,MATCH($B31,'State Rules'!$A$5:$A$11,0)),"Yes","No"),""))</f>
        <v>No</v>
      </c>
      <c r="T31" s="8"/>
      <c r="U31" s="8"/>
      <c r="V31" s="24"/>
      <c r="W31" s="24"/>
      <c r="X31" s="24"/>
      <c r="Y31" s="8"/>
      <c r="Z31" s="10" t="n">
        <f aca="false">IF(Q31="","",IF(Q31&lt;=$B$4,N(W31)+N(X31),0))</f>
        <v>0</v>
      </c>
      <c r="AA31" s="10" t="n">
        <f aca="false">IF(OR(LEFT(N31,6)="Larger",LEFT(N31,4)="Memo"),H31,0)</f>
        <v>750</v>
      </c>
      <c r="AB31" s="12" t="str">
        <f aca="false">IFERROR(INDEX('State Rules'!$M$5:$M$11,MATCH($B31,'State Rules'!$A$5:$A$11,0)),"")</f>
        <v>LONG</v>
      </c>
      <c r="AC31" s="22" t="n">
        <f aca="false">IF(AB31="SHORT",P31,IF(AB31="LONG",Q31,""))</f>
        <v>46836</v>
      </c>
      <c r="AD31" s="11" t="str">
        <f aca="false">IF(AB31="SHORT",R31,IF(AB31="LONG",S31,""))</f>
        <v>No</v>
      </c>
    </row>
    <row r="32" customFormat="false" ht="15" hidden="false" customHeight="false" outlineLevel="0" collapsed="false">
      <c r="A32" s="11" t="s">
        <v>37</v>
      </c>
      <c r="B32" s="12" t="str">
        <f aca="false">IF(U32&lt;&gt;"",U32,IFERROR(INDEX(Summary!$B$11:$B$18,MATCH($A32,Summary!$A$11:$A$18,0)),""))</f>
        <v>TX</v>
      </c>
      <c r="C32" s="11" t="s">
        <v>37</v>
      </c>
      <c r="D32" s="11" t="n">
        <v>46</v>
      </c>
      <c r="E32" s="22" t="n">
        <v>45819</v>
      </c>
      <c r="F32" s="11" t="s">
        <v>153</v>
      </c>
      <c r="G32" s="11"/>
      <c r="H32" s="10" t="n">
        <v>324.75</v>
      </c>
      <c r="I32" s="11" t="s">
        <v>154</v>
      </c>
      <c r="J32" s="11" t="s">
        <v>101</v>
      </c>
      <c r="K32" s="23" t="n">
        <f aca="false">IF(E32="","",($B$4-E32)/365.25)</f>
        <v>1.31964407939767</v>
      </c>
      <c r="L32" s="11" t="str">
        <f aca="false">IF(K32="","no date",IF(K32&lt;1,"0-1 yrs",IF(K32&lt;2,"1-2 yrs",IF(K32&lt;3,"2-3 yrs",IF(K32&lt;5,"3-5 yrs","5+ yrs")))))</f>
        <v>1-2 yrs</v>
      </c>
      <c r="M32" s="11" t="s">
        <v>101</v>
      </c>
      <c r="N32" s="12" t="str">
        <f aca="false">IF(M32="Yes","Memo flag - not ours / unknown / hold: resolve",IF(OR(COUNTIF(Summary!$C$4:$R$4,H32)&gt;0,AND(A32="Philly",COUNTIF(Summary!$C$5:$R$5,H32)&gt;0),AND(A32="TUR",COUNTIF(Summary!$C$6:$R$6,H32)&gt;0),AND(A32="Leading Edge",COUNTIF(Summary!$C$7:$R$7,H32)&gt;0)),"Fee amount - presumed company revenue",IF(H32&lt;=Summary!$B$8,"Small amount - likely fee, review","Larger amount - likely includes agent commission")))</f>
        <v>Larger amount - likely includes agent commission</v>
      </c>
      <c r="O32" s="12" t="n">
        <f aca="false">IFERROR(INDEX('State Rules'!$C$5:$C$11,MATCH($B32,'State Rules'!$A$5:$A$11,0)),"")</f>
        <v>1</v>
      </c>
      <c r="P32" s="22" t="n">
        <f aca="false">IF(OR(O32="",E32=""),"",EDATE(E32,12*O32))</f>
        <v>46184</v>
      </c>
      <c r="Q32" s="22" t="n">
        <f aca="false">IF(E32="","",IFERROR(EDATE(E32,12*INDEX('State Rules'!$E$5:$E$11,MATCH($B32,'State Rules'!$A$5:$A$11,0))),""))</f>
        <v>46915</v>
      </c>
      <c r="R32" s="11" t="str">
        <f aca="false">IF(P32="","",IFERROR(IF(P32&lt;=INDEX('State Rules'!$I$5:$I$11,MATCH($B32,'State Rules'!$A$5:$A$11,0)),"Yes","No"),""))</f>
        <v>Yes</v>
      </c>
      <c r="S32" s="11" t="str">
        <f aca="false">IF(Q32="","",IFERROR(IF(Q32&lt;=INDEX('State Rules'!$I$5:$I$11,MATCH($B32,'State Rules'!$A$5:$A$11,0)),"Yes","No"),""))</f>
        <v>No</v>
      </c>
      <c r="T32" s="8"/>
      <c r="U32" s="8"/>
      <c r="V32" s="24"/>
      <c r="W32" s="24"/>
      <c r="X32" s="24"/>
      <c r="Y32" s="8"/>
      <c r="Z32" s="10" t="n">
        <f aca="false">IF(Q32="","",IF(Q32&lt;=$B$4,N(W32)+N(X32),0))</f>
        <v>0</v>
      </c>
      <c r="AA32" s="10" t="n">
        <f aca="false">IF(OR(LEFT(N32,6)="Larger",LEFT(N32,4)="Memo"),H32,0)</f>
        <v>324.75</v>
      </c>
      <c r="AB32" s="12" t="str">
        <f aca="false">IFERROR(INDEX('State Rules'!$M$5:$M$11,MATCH($B32,'State Rules'!$A$5:$A$11,0)),"")</f>
        <v>LONG</v>
      </c>
      <c r="AC32" s="22" t="n">
        <f aca="false">IF(AB32="SHORT",P32,IF(AB32="LONG",Q32,""))</f>
        <v>46915</v>
      </c>
      <c r="AD32" s="11" t="str">
        <f aca="false">IF(AB32="SHORT",R32,IF(AB32="LONG",S32,""))</f>
        <v>No</v>
      </c>
    </row>
    <row r="33" customFormat="false" ht="15" hidden="false" customHeight="false" outlineLevel="0" collapsed="false">
      <c r="A33" s="11" t="s">
        <v>37</v>
      </c>
      <c r="B33" s="12" t="str">
        <f aca="false">IF(U33&lt;&gt;"",U33,IFERROR(INDEX(Summary!$B$11:$B$18,MATCH($A33,Summary!$A$11:$A$18,0)),""))</f>
        <v>TX</v>
      </c>
      <c r="C33" s="11" t="s">
        <v>37</v>
      </c>
      <c r="D33" s="11" t="n">
        <v>47</v>
      </c>
      <c r="E33" s="22" t="n">
        <v>45831</v>
      </c>
      <c r="F33" s="11" t="s">
        <v>155</v>
      </c>
      <c r="G33" s="11"/>
      <c r="H33" s="10" t="n">
        <v>300</v>
      </c>
      <c r="I33" s="11" t="s">
        <v>156</v>
      </c>
      <c r="J33" s="11" t="s">
        <v>101</v>
      </c>
      <c r="K33" s="23" t="n">
        <f aca="false">IF(E33="","",($B$4-E33)/365.25)</f>
        <v>1.28678986995209</v>
      </c>
      <c r="L33" s="11" t="str">
        <f aca="false">IF(K33="","no date",IF(K33&lt;1,"0-1 yrs",IF(K33&lt;2,"1-2 yrs",IF(K33&lt;3,"2-3 yrs",IF(K33&lt;5,"3-5 yrs","5+ yrs")))))</f>
        <v>1-2 yrs</v>
      </c>
      <c r="M33" s="11" t="s">
        <v>101</v>
      </c>
      <c r="N33" s="12" t="str">
        <f aca="false">IF(M33="Yes","Memo flag - not ours / unknown / hold: resolve",IF(OR(COUNTIF(Summary!$C$4:$R$4,H33)&gt;0,AND(A33="Philly",COUNTIF(Summary!$C$5:$R$5,H33)&gt;0),AND(A33="TUR",COUNTIF(Summary!$C$6:$R$6,H33)&gt;0),AND(A33="Leading Edge",COUNTIF(Summary!$C$7:$R$7,H33)&gt;0)),"Fee amount - presumed company revenue",IF(H33&lt;=Summary!$B$8,"Small amount - likely fee, review","Larger amount - likely includes agent commission")))</f>
        <v>Larger amount - likely includes agent commission</v>
      </c>
      <c r="O33" s="12" t="n">
        <f aca="false">IFERROR(INDEX('State Rules'!$C$5:$C$11,MATCH($B33,'State Rules'!$A$5:$A$11,0)),"")</f>
        <v>1</v>
      </c>
      <c r="P33" s="22" t="n">
        <f aca="false">IF(OR(O33="",E33=""),"",EDATE(E33,12*O33))</f>
        <v>46196</v>
      </c>
      <c r="Q33" s="22" t="n">
        <f aca="false">IF(E33="","",IFERROR(EDATE(E33,12*INDEX('State Rules'!$E$5:$E$11,MATCH($B33,'State Rules'!$A$5:$A$11,0))),""))</f>
        <v>46927</v>
      </c>
      <c r="R33" s="11" t="str">
        <f aca="false">IF(P33="","",IFERROR(IF(P33&lt;=INDEX('State Rules'!$I$5:$I$11,MATCH($B33,'State Rules'!$A$5:$A$11,0)),"Yes","No"),""))</f>
        <v>Yes</v>
      </c>
      <c r="S33" s="11" t="str">
        <f aca="false">IF(Q33="","",IFERROR(IF(Q33&lt;=INDEX('State Rules'!$I$5:$I$11,MATCH($B33,'State Rules'!$A$5:$A$11,0)),"Yes","No"),""))</f>
        <v>No</v>
      </c>
      <c r="T33" s="8"/>
      <c r="U33" s="8"/>
      <c r="V33" s="24"/>
      <c r="W33" s="24"/>
      <c r="X33" s="24"/>
      <c r="Y33" s="8"/>
      <c r="Z33" s="10" t="n">
        <f aca="false">IF(Q33="","",IF(Q33&lt;=$B$4,N(W33)+N(X33),0))</f>
        <v>0</v>
      </c>
      <c r="AA33" s="10" t="n">
        <f aca="false">IF(OR(LEFT(N33,6)="Larger",LEFT(N33,4)="Memo"),H33,0)</f>
        <v>300</v>
      </c>
      <c r="AB33" s="12" t="str">
        <f aca="false">IFERROR(INDEX('State Rules'!$M$5:$M$11,MATCH($B33,'State Rules'!$A$5:$A$11,0)),"")</f>
        <v>LONG</v>
      </c>
      <c r="AC33" s="22" t="n">
        <f aca="false">IF(AB33="SHORT",P33,IF(AB33="LONG",Q33,""))</f>
        <v>46927</v>
      </c>
      <c r="AD33" s="11" t="str">
        <f aca="false">IF(AB33="SHORT",R33,IF(AB33="LONG",S33,""))</f>
        <v>No</v>
      </c>
    </row>
    <row r="34" customFormat="false" ht="15" hidden="false" customHeight="false" outlineLevel="0" collapsed="false">
      <c r="A34" s="11" t="s">
        <v>37</v>
      </c>
      <c r="B34" s="12" t="str">
        <f aca="false">IF(U34&lt;&gt;"",U34,IFERROR(INDEX(Summary!$B$11:$B$18,MATCH($A34,Summary!$A$11:$A$18,0)),""))</f>
        <v>TX</v>
      </c>
      <c r="C34" s="11" t="s">
        <v>37</v>
      </c>
      <c r="D34" s="11" t="n">
        <v>48</v>
      </c>
      <c r="E34" s="22" t="n">
        <v>45968</v>
      </c>
      <c r="F34" s="11" t="s">
        <v>157</v>
      </c>
      <c r="G34" s="11"/>
      <c r="H34" s="10" t="n">
        <v>1239</v>
      </c>
      <c r="I34" s="11"/>
      <c r="J34" s="11" t="s">
        <v>101</v>
      </c>
      <c r="K34" s="23" t="n">
        <f aca="false">IF(E34="","",($B$4-E34)/365.25)</f>
        <v>0.91170431211499</v>
      </c>
      <c r="L34" s="11" t="str">
        <f aca="false">IF(K34="","no date",IF(K34&lt;1,"0-1 yrs",IF(K34&lt;2,"1-2 yrs",IF(K34&lt;3,"2-3 yrs",IF(K34&lt;5,"3-5 yrs","5+ yrs")))))</f>
        <v>0-1 yrs</v>
      </c>
      <c r="M34" s="11" t="s">
        <v>101</v>
      </c>
      <c r="N34" s="12" t="str">
        <f aca="false">IF(M34="Yes","Memo flag - not ours / unknown / hold: resolve",IF(OR(COUNTIF(Summary!$C$4:$R$4,H34)&gt;0,AND(A34="Philly",COUNTIF(Summary!$C$5:$R$5,H34)&gt;0),AND(A34="TUR",COUNTIF(Summary!$C$6:$R$6,H34)&gt;0),AND(A34="Leading Edge",COUNTIF(Summary!$C$7:$R$7,H34)&gt;0)),"Fee amount - presumed company revenue",IF(H34&lt;=Summary!$B$8,"Small amount - likely fee, review","Larger amount - likely includes agent commission")))</f>
        <v>Larger amount - likely includes agent commission</v>
      </c>
      <c r="O34" s="12" t="n">
        <f aca="false">IFERROR(INDEX('State Rules'!$C$5:$C$11,MATCH($B34,'State Rules'!$A$5:$A$11,0)),"")</f>
        <v>1</v>
      </c>
      <c r="P34" s="22" t="n">
        <f aca="false">IF(OR(O34="",E34=""),"",EDATE(E34,12*O34))</f>
        <v>46333</v>
      </c>
      <c r="Q34" s="22" t="n">
        <f aca="false">IF(E34="","",IFERROR(EDATE(E34,12*INDEX('State Rules'!$E$5:$E$11,MATCH($B34,'State Rules'!$A$5:$A$11,0))),""))</f>
        <v>47064</v>
      </c>
      <c r="R34" s="11" t="str">
        <f aca="false">IF(P34="","",IFERROR(IF(P34&lt;=INDEX('State Rules'!$I$5:$I$11,MATCH($B34,'State Rules'!$A$5:$A$11,0)),"Yes","No"),""))</f>
        <v>Yes</v>
      </c>
      <c r="S34" s="11" t="str">
        <f aca="false">IF(Q34="","",IFERROR(IF(Q34&lt;=INDEX('State Rules'!$I$5:$I$11,MATCH($B34,'State Rules'!$A$5:$A$11,0)),"Yes","No"),""))</f>
        <v>No</v>
      </c>
      <c r="T34" s="8"/>
      <c r="U34" s="8"/>
      <c r="V34" s="24"/>
      <c r="W34" s="24"/>
      <c r="X34" s="24"/>
      <c r="Y34" s="8"/>
      <c r="Z34" s="10" t="n">
        <f aca="false">IF(Q34="","",IF(Q34&lt;=$B$4,N(W34)+N(X34),0))</f>
        <v>0</v>
      </c>
      <c r="AA34" s="10" t="n">
        <f aca="false">IF(OR(LEFT(N34,6)="Larger",LEFT(N34,4)="Memo"),H34,0)</f>
        <v>1239</v>
      </c>
      <c r="AB34" s="12" t="str">
        <f aca="false">IFERROR(INDEX('State Rules'!$M$5:$M$11,MATCH($B34,'State Rules'!$A$5:$A$11,0)),"")</f>
        <v>LONG</v>
      </c>
      <c r="AC34" s="22" t="n">
        <f aca="false">IF(AB34="SHORT",P34,IF(AB34="LONG",Q34,""))</f>
        <v>47064</v>
      </c>
      <c r="AD34" s="11" t="str">
        <f aca="false">IF(AB34="SHORT",R34,IF(AB34="LONG",S34,""))</f>
        <v>No</v>
      </c>
    </row>
    <row r="35" customFormat="false" ht="15" hidden="false" customHeight="false" outlineLevel="0" collapsed="false">
      <c r="A35" s="11" t="s">
        <v>37</v>
      </c>
      <c r="B35" s="12" t="str">
        <f aca="false">IF(U35&lt;&gt;"",U35,IFERROR(INDEX(Summary!$B$11:$B$18,MATCH($A35,Summary!$A$11:$A$18,0)),""))</f>
        <v>TX</v>
      </c>
      <c r="C35" s="11" t="s">
        <v>37</v>
      </c>
      <c r="D35" s="11" t="n">
        <v>49</v>
      </c>
      <c r="E35" s="22" t="n">
        <v>45996</v>
      </c>
      <c r="F35" s="11" t="s">
        <v>158</v>
      </c>
      <c r="G35" s="11"/>
      <c r="H35" s="10" t="n">
        <v>800</v>
      </c>
      <c r="I35" s="11" t="s">
        <v>159</v>
      </c>
      <c r="J35" s="11" t="s">
        <v>101</v>
      </c>
      <c r="K35" s="23" t="n">
        <f aca="false">IF(E35="","",($B$4-E35)/365.25)</f>
        <v>0.835044490075291</v>
      </c>
      <c r="L35" s="11" t="str">
        <f aca="false">IF(K35="","no date",IF(K35&lt;1,"0-1 yrs",IF(K35&lt;2,"1-2 yrs",IF(K35&lt;3,"2-3 yrs",IF(K35&lt;5,"3-5 yrs","5+ yrs")))))</f>
        <v>0-1 yrs</v>
      </c>
      <c r="M35" s="11" t="s">
        <v>101</v>
      </c>
      <c r="N35" s="12" t="str">
        <f aca="false">IF(M35="Yes","Memo flag - not ours / unknown / hold: resolve",IF(OR(COUNTIF(Summary!$C$4:$R$4,H35)&gt;0,AND(A35="Philly",COUNTIF(Summary!$C$5:$R$5,H35)&gt;0),AND(A35="TUR",COUNTIF(Summary!$C$6:$R$6,H35)&gt;0),AND(A35="Leading Edge",COUNTIF(Summary!$C$7:$R$7,H35)&gt;0)),"Fee amount - presumed company revenue",IF(H35&lt;=Summary!$B$8,"Small amount - likely fee, review","Larger amount - likely includes agent commission")))</f>
        <v>Larger amount - likely includes agent commission</v>
      </c>
      <c r="O35" s="12" t="n">
        <f aca="false">IFERROR(INDEX('State Rules'!$C$5:$C$11,MATCH($B35,'State Rules'!$A$5:$A$11,0)),"")</f>
        <v>1</v>
      </c>
      <c r="P35" s="22" t="n">
        <f aca="false">IF(OR(O35="",E35=""),"",EDATE(E35,12*O35))</f>
        <v>46361</v>
      </c>
      <c r="Q35" s="22" t="n">
        <f aca="false">IF(E35="","",IFERROR(EDATE(E35,12*INDEX('State Rules'!$E$5:$E$11,MATCH($B35,'State Rules'!$A$5:$A$11,0))),""))</f>
        <v>47092</v>
      </c>
      <c r="R35" s="11" t="str">
        <f aca="false">IF(P35="","",IFERROR(IF(P35&lt;=INDEX('State Rules'!$I$5:$I$11,MATCH($B35,'State Rules'!$A$5:$A$11,0)),"Yes","No"),""))</f>
        <v>Yes</v>
      </c>
      <c r="S35" s="11" t="str">
        <f aca="false">IF(Q35="","",IFERROR(IF(Q35&lt;=INDEX('State Rules'!$I$5:$I$11,MATCH($B35,'State Rules'!$A$5:$A$11,0)),"Yes","No"),""))</f>
        <v>No</v>
      </c>
      <c r="T35" s="8"/>
      <c r="U35" s="8"/>
      <c r="V35" s="24"/>
      <c r="W35" s="24"/>
      <c r="X35" s="24"/>
      <c r="Y35" s="8"/>
      <c r="Z35" s="10" t="n">
        <f aca="false">IF(Q35="","",IF(Q35&lt;=$B$4,N(W35)+N(X35),0))</f>
        <v>0</v>
      </c>
      <c r="AA35" s="10" t="n">
        <f aca="false">IF(OR(LEFT(N35,6)="Larger",LEFT(N35,4)="Memo"),H35,0)</f>
        <v>800</v>
      </c>
      <c r="AB35" s="12" t="str">
        <f aca="false">IFERROR(INDEX('State Rules'!$M$5:$M$11,MATCH($B35,'State Rules'!$A$5:$A$11,0)),"")</f>
        <v>LONG</v>
      </c>
      <c r="AC35" s="22" t="n">
        <f aca="false">IF(AB35="SHORT",P35,IF(AB35="LONG",Q35,""))</f>
        <v>47092</v>
      </c>
      <c r="AD35" s="11" t="str">
        <f aca="false">IF(AB35="SHORT",R35,IF(AB35="LONG",S35,""))</f>
        <v>No</v>
      </c>
    </row>
    <row r="36" customFormat="false" ht="15" hidden="false" customHeight="false" outlineLevel="0" collapsed="false">
      <c r="A36" s="11" t="s">
        <v>37</v>
      </c>
      <c r="B36" s="12" t="str">
        <f aca="false">IF(U36&lt;&gt;"",U36,IFERROR(INDEX(Summary!$B$11:$B$18,MATCH($A36,Summary!$A$11:$A$18,0)),""))</f>
        <v>TX</v>
      </c>
      <c r="C36" s="11" t="s">
        <v>37</v>
      </c>
      <c r="D36" s="11" t="n">
        <v>50</v>
      </c>
      <c r="E36" s="22" t="n">
        <v>46000</v>
      </c>
      <c r="F36" s="11" t="s">
        <v>160</v>
      </c>
      <c r="G36" s="11"/>
      <c r="H36" s="10" t="n">
        <v>824.12</v>
      </c>
      <c r="I36" s="11"/>
      <c r="J36" s="11" t="s">
        <v>101</v>
      </c>
      <c r="K36" s="23" t="n">
        <f aca="false">IF(E36="","",($B$4-E36)/365.25)</f>
        <v>0.824093086926763</v>
      </c>
      <c r="L36" s="11" t="str">
        <f aca="false">IF(K36="","no date",IF(K36&lt;1,"0-1 yrs",IF(K36&lt;2,"1-2 yrs",IF(K36&lt;3,"2-3 yrs",IF(K36&lt;5,"3-5 yrs","5+ yrs")))))</f>
        <v>0-1 yrs</v>
      </c>
      <c r="M36" s="11" t="s">
        <v>101</v>
      </c>
      <c r="N36" s="12" t="str">
        <f aca="false">IF(M36="Yes","Memo flag - not ours / unknown / hold: resolve",IF(OR(COUNTIF(Summary!$C$4:$R$4,H36)&gt;0,AND(A36="Philly",COUNTIF(Summary!$C$5:$R$5,H36)&gt;0),AND(A36="TUR",COUNTIF(Summary!$C$6:$R$6,H36)&gt;0),AND(A36="Leading Edge",COUNTIF(Summary!$C$7:$R$7,H36)&gt;0)),"Fee amount - presumed company revenue",IF(H36&lt;=Summary!$B$8,"Small amount - likely fee, review","Larger amount - likely includes agent commission")))</f>
        <v>Larger amount - likely includes agent commission</v>
      </c>
      <c r="O36" s="12" t="n">
        <f aca="false">IFERROR(INDEX('State Rules'!$C$5:$C$11,MATCH($B36,'State Rules'!$A$5:$A$11,0)),"")</f>
        <v>1</v>
      </c>
      <c r="P36" s="22" t="n">
        <f aca="false">IF(OR(O36="",E36=""),"",EDATE(E36,12*O36))</f>
        <v>46365</v>
      </c>
      <c r="Q36" s="22" t="n">
        <f aca="false">IF(E36="","",IFERROR(EDATE(E36,12*INDEX('State Rules'!$E$5:$E$11,MATCH($B36,'State Rules'!$A$5:$A$11,0))),""))</f>
        <v>47096</v>
      </c>
      <c r="R36" s="11" t="str">
        <f aca="false">IF(P36="","",IFERROR(IF(P36&lt;=INDEX('State Rules'!$I$5:$I$11,MATCH($B36,'State Rules'!$A$5:$A$11,0)),"Yes","No"),""))</f>
        <v>Yes</v>
      </c>
      <c r="S36" s="11" t="str">
        <f aca="false">IF(Q36="","",IFERROR(IF(Q36&lt;=INDEX('State Rules'!$I$5:$I$11,MATCH($B36,'State Rules'!$A$5:$A$11,0)),"Yes","No"),""))</f>
        <v>No</v>
      </c>
      <c r="T36" s="8"/>
      <c r="U36" s="8"/>
      <c r="V36" s="24"/>
      <c r="W36" s="24"/>
      <c r="X36" s="24"/>
      <c r="Y36" s="8"/>
      <c r="Z36" s="10" t="n">
        <f aca="false">IF(Q36="","",IF(Q36&lt;=$B$4,N(W36)+N(X36),0))</f>
        <v>0</v>
      </c>
      <c r="AA36" s="10" t="n">
        <f aca="false">IF(OR(LEFT(N36,6)="Larger",LEFT(N36,4)="Memo"),H36,0)</f>
        <v>824.12</v>
      </c>
      <c r="AB36" s="12" t="str">
        <f aca="false">IFERROR(INDEX('State Rules'!$M$5:$M$11,MATCH($B36,'State Rules'!$A$5:$A$11,0)),"")</f>
        <v>LONG</v>
      </c>
      <c r="AC36" s="22" t="n">
        <f aca="false">IF(AB36="SHORT",P36,IF(AB36="LONG",Q36,""))</f>
        <v>47096</v>
      </c>
      <c r="AD36" s="11" t="str">
        <f aca="false">IF(AB36="SHORT",R36,IF(AB36="LONG",S36,""))</f>
        <v>No</v>
      </c>
    </row>
    <row r="37" customFormat="false" ht="15" hidden="false" customHeight="false" outlineLevel="0" collapsed="false">
      <c r="A37" s="11" t="s">
        <v>37</v>
      </c>
      <c r="B37" s="12" t="str">
        <f aca="false">IF(U37&lt;&gt;"",U37,IFERROR(INDEX(Summary!$B$11:$B$18,MATCH($A37,Summary!$A$11:$A$18,0)),""))</f>
        <v>TX</v>
      </c>
      <c r="C37" s="11" t="s">
        <v>37</v>
      </c>
      <c r="D37" s="11" t="n">
        <v>51</v>
      </c>
      <c r="E37" s="22" t="n">
        <v>46000</v>
      </c>
      <c r="F37" s="11" t="s">
        <v>161</v>
      </c>
      <c r="G37" s="11"/>
      <c r="H37" s="10" t="n">
        <v>1450</v>
      </c>
      <c r="I37" s="11" t="s">
        <v>162</v>
      </c>
      <c r="J37" s="11" t="s">
        <v>101</v>
      </c>
      <c r="K37" s="23" t="n">
        <f aca="false">IF(E37="","",($B$4-E37)/365.25)</f>
        <v>0.824093086926763</v>
      </c>
      <c r="L37" s="11" t="str">
        <f aca="false">IF(K37="","no date",IF(K37&lt;1,"0-1 yrs",IF(K37&lt;2,"1-2 yrs",IF(K37&lt;3,"2-3 yrs",IF(K37&lt;5,"3-5 yrs","5+ yrs")))))</f>
        <v>0-1 yrs</v>
      </c>
      <c r="M37" s="11" t="s">
        <v>101</v>
      </c>
      <c r="N37" s="12" t="str">
        <f aca="false">IF(M37="Yes","Memo flag - not ours / unknown / hold: resolve",IF(OR(COUNTIF(Summary!$C$4:$R$4,H37)&gt;0,AND(A37="Philly",COUNTIF(Summary!$C$5:$R$5,H37)&gt;0),AND(A37="TUR",COUNTIF(Summary!$C$6:$R$6,H37)&gt;0),AND(A37="Leading Edge",COUNTIF(Summary!$C$7:$R$7,H37)&gt;0)),"Fee amount - presumed company revenue",IF(H37&lt;=Summary!$B$8,"Small amount - likely fee, review","Larger amount - likely includes agent commission")))</f>
        <v>Larger amount - likely includes agent commission</v>
      </c>
      <c r="O37" s="12" t="n">
        <f aca="false">IFERROR(INDEX('State Rules'!$C$5:$C$11,MATCH($B37,'State Rules'!$A$5:$A$11,0)),"")</f>
        <v>1</v>
      </c>
      <c r="P37" s="22" t="n">
        <f aca="false">IF(OR(O37="",E37=""),"",EDATE(E37,12*O37))</f>
        <v>46365</v>
      </c>
      <c r="Q37" s="22" t="n">
        <f aca="false">IF(E37="","",IFERROR(EDATE(E37,12*INDEX('State Rules'!$E$5:$E$11,MATCH($B37,'State Rules'!$A$5:$A$11,0))),""))</f>
        <v>47096</v>
      </c>
      <c r="R37" s="11" t="str">
        <f aca="false">IF(P37="","",IFERROR(IF(P37&lt;=INDEX('State Rules'!$I$5:$I$11,MATCH($B37,'State Rules'!$A$5:$A$11,0)),"Yes","No"),""))</f>
        <v>Yes</v>
      </c>
      <c r="S37" s="11" t="str">
        <f aca="false">IF(Q37="","",IFERROR(IF(Q37&lt;=INDEX('State Rules'!$I$5:$I$11,MATCH($B37,'State Rules'!$A$5:$A$11,0)),"Yes","No"),""))</f>
        <v>No</v>
      </c>
      <c r="T37" s="8"/>
      <c r="U37" s="8"/>
      <c r="V37" s="24"/>
      <c r="W37" s="24"/>
      <c r="X37" s="24"/>
      <c r="Y37" s="8"/>
      <c r="Z37" s="10" t="n">
        <f aca="false">IF(Q37="","",IF(Q37&lt;=$B$4,N(W37)+N(X37),0))</f>
        <v>0</v>
      </c>
      <c r="AA37" s="10" t="n">
        <f aca="false">IF(OR(LEFT(N37,6)="Larger",LEFT(N37,4)="Memo"),H37,0)</f>
        <v>1450</v>
      </c>
      <c r="AB37" s="12" t="str">
        <f aca="false">IFERROR(INDEX('State Rules'!$M$5:$M$11,MATCH($B37,'State Rules'!$A$5:$A$11,0)),"")</f>
        <v>LONG</v>
      </c>
      <c r="AC37" s="22" t="n">
        <f aca="false">IF(AB37="SHORT",P37,IF(AB37="LONG",Q37,""))</f>
        <v>47096</v>
      </c>
      <c r="AD37" s="11" t="str">
        <f aca="false">IF(AB37="SHORT",R37,IF(AB37="LONG",S37,""))</f>
        <v>No</v>
      </c>
    </row>
    <row r="38" customFormat="false" ht="15" hidden="false" customHeight="false" outlineLevel="0" collapsed="false">
      <c r="A38" s="11" t="s">
        <v>37</v>
      </c>
      <c r="B38" s="12" t="str">
        <f aca="false">IF(U38&lt;&gt;"",U38,IFERROR(INDEX(Summary!$B$11:$B$18,MATCH($A38,Summary!$A$11:$A$18,0)),""))</f>
        <v>TX</v>
      </c>
      <c r="C38" s="11" t="s">
        <v>37</v>
      </c>
      <c r="D38" s="11" t="n">
        <v>52</v>
      </c>
      <c r="E38" s="22" t="n">
        <v>46064</v>
      </c>
      <c r="F38" s="11" t="s">
        <v>163</v>
      </c>
      <c r="G38" s="11" t="s">
        <v>164</v>
      </c>
      <c r="H38" s="10" t="n">
        <v>41.87</v>
      </c>
      <c r="I38" s="11"/>
      <c r="J38" s="11" t="s">
        <v>101</v>
      </c>
      <c r="K38" s="23" t="n">
        <f aca="false">IF(E38="","",($B$4-E38)/365.25)</f>
        <v>0.648870636550308</v>
      </c>
      <c r="L38" s="11" t="str">
        <f aca="false">IF(K38="","no date",IF(K38&lt;1,"0-1 yrs",IF(K38&lt;2,"1-2 yrs",IF(K38&lt;3,"2-3 yrs",IF(K38&lt;5,"3-5 yrs","5+ yrs")))))</f>
        <v>0-1 yrs</v>
      </c>
      <c r="M38" s="11" t="s">
        <v>101</v>
      </c>
      <c r="N38" s="12" t="str">
        <f aca="false">IF(M38="Yes","Memo flag - not ours / unknown / hold: resolve",IF(OR(COUNTIF(Summary!$C$4:$R$4,H38)&gt;0,AND(A38="Philly",COUNTIF(Summary!$C$5:$R$5,H38)&gt;0),AND(A38="TUR",COUNTIF(Summary!$C$6:$R$6,H38)&gt;0),AND(A38="Leading Edge",COUNTIF(Summary!$C$7:$R$7,H38)&gt;0)),"Fee amount - presumed company revenue",IF(H38&lt;=Summary!$B$8,"Small amount - likely fee, review","Larger amount - likely includes agent commission")))</f>
        <v>Small amount - likely fee, review</v>
      </c>
      <c r="O38" s="12" t="n">
        <f aca="false">IFERROR(INDEX('State Rules'!$C$5:$C$11,MATCH($B38,'State Rules'!$A$5:$A$11,0)),"")</f>
        <v>1</v>
      </c>
      <c r="P38" s="22" t="n">
        <f aca="false">IF(OR(O38="",E38=""),"",EDATE(E38,12*O38))</f>
        <v>46429</v>
      </c>
      <c r="Q38" s="22" t="n">
        <f aca="false">IF(E38="","",IFERROR(EDATE(E38,12*INDEX('State Rules'!$E$5:$E$11,MATCH($B38,'State Rules'!$A$5:$A$11,0))),""))</f>
        <v>47160</v>
      </c>
      <c r="R38" s="11" t="str">
        <f aca="false">IF(P38="","",IFERROR(IF(P38&lt;=INDEX('State Rules'!$I$5:$I$11,MATCH($B38,'State Rules'!$A$5:$A$11,0)),"Yes","No"),""))</f>
        <v>Yes</v>
      </c>
      <c r="S38" s="11" t="str">
        <f aca="false">IF(Q38="","",IFERROR(IF(Q38&lt;=INDEX('State Rules'!$I$5:$I$11,MATCH($B38,'State Rules'!$A$5:$A$11,0)),"Yes","No"),""))</f>
        <v>No</v>
      </c>
      <c r="T38" s="8"/>
      <c r="U38" s="8"/>
      <c r="V38" s="24"/>
      <c r="W38" s="24"/>
      <c r="X38" s="24"/>
      <c r="Y38" s="8"/>
      <c r="Z38" s="10" t="n">
        <f aca="false">IF(Q38="","",IF(Q38&lt;=$B$4,N(W38)+N(X38),0))</f>
        <v>0</v>
      </c>
      <c r="AA38" s="10" t="n">
        <f aca="false">IF(OR(LEFT(N38,6)="Larger",LEFT(N38,4)="Memo"),H38,0)</f>
        <v>0</v>
      </c>
      <c r="AB38" s="12" t="str">
        <f aca="false">IFERROR(INDEX('State Rules'!$M$5:$M$11,MATCH($B38,'State Rules'!$A$5:$A$11,0)),"")</f>
        <v>LONG</v>
      </c>
      <c r="AC38" s="22" t="n">
        <f aca="false">IF(AB38="SHORT",P38,IF(AB38="LONG",Q38,""))</f>
        <v>47160</v>
      </c>
      <c r="AD38" s="11" t="str">
        <f aca="false">IF(AB38="SHORT",R38,IF(AB38="LONG",S38,""))</f>
        <v>No</v>
      </c>
    </row>
    <row r="39" customFormat="false" ht="15" hidden="false" customHeight="false" outlineLevel="0" collapsed="false">
      <c r="A39" s="11" t="s">
        <v>37</v>
      </c>
      <c r="B39" s="12" t="str">
        <f aca="false">IF(U39&lt;&gt;"",U39,IFERROR(INDEX(Summary!$B$11:$B$18,MATCH($A39,Summary!$A$11:$A$18,0)),""))</f>
        <v>TX</v>
      </c>
      <c r="C39" s="11" t="s">
        <v>37</v>
      </c>
      <c r="D39" s="11" t="n">
        <v>53</v>
      </c>
      <c r="E39" s="22" t="n">
        <v>46134</v>
      </c>
      <c r="F39" s="11" t="s">
        <v>165</v>
      </c>
      <c r="G39" s="11" t="s">
        <v>106</v>
      </c>
      <c r="H39" s="10" t="n">
        <v>394</v>
      </c>
      <c r="I39" s="11" t="s">
        <v>166</v>
      </c>
      <c r="J39" s="11" t="s">
        <v>101</v>
      </c>
      <c r="K39" s="23" t="n">
        <f aca="false">IF(E39="","",($B$4-E39)/365.25)</f>
        <v>0.457221081451061</v>
      </c>
      <c r="L39" s="11" t="str">
        <f aca="false">IF(K39="","no date",IF(K39&lt;1,"0-1 yrs",IF(K39&lt;2,"1-2 yrs",IF(K39&lt;3,"2-3 yrs",IF(K39&lt;5,"3-5 yrs","5+ yrs")))))</f>
        <v>0-1 yrs</v>
      </c>
      <c r="M39" s="11" t="s">
        <v>101</v>
      </c>
      <c r="N39" s="12" t="str">
        <f aca="false">IF(M39="Yes","Memo flag - not ours / unknown / hold: resolve",IF(OR(COUNTIF(Summary!$C$4:$R$4,H39)&gt;0,AND(A39="Philly",COUNTIF(Summary!$C$5:$R$5,H39)&gt;0),AND(A39="TUR",COUNTIF(Summary!$C$6:$R$6,H39)&gt;0),AND(A39="Leading Edge",COUNTIF(Summary!$C$7:$R$7,H39)&gt;0)),"Fee amount - presumed company revenue",IF(H39&lt;=Summary!$B$8,"Small amount - likely fee, review","Larger amount - likely includes agent commission")))</f>
        <v>Larger amount - likely includes agent commission</v>
      </c>
      <c r="O39" s="12" t="n">
        <f aca="false">IFERROR(INDEX('State Rules'!$C$5:$C$11,MATCH($B39,'State Rules'!$A$5:$A$11,0)),"")</f>
        <v>1</v>
      </c>
      <c r="P39" s="22" t="n">
        <f aca="false">IF(OR(O39="",E39=""),"",EDATE(E39,12*O39))</f>
        <v>46499</v>
      </c>
      <c r="Q39" s="22" t="n">
        <f aca="false">IF(E39="","",IFERROR(EDATE(E39,12*INDEX('State Rules'!$E$5:$E$11,MATCH($B39,'State Rules'!$A$5:$A$11,0))),""))</f>
        <v>47230</v>
      </c>
      <c r="R39" s="11" t="str">
        <f aca="false">IF(P39="","",IFERROR(IF(P39&lt;=INDEX('State Rules'!$I$5:$I$11,MATCH($B39,'State Rules'!$A$5:$A$11,0)),"Yes","No"),""))</f>
        <v>No</v>
      </c>
      <c r="S39" s="11" t="str">
        <f aca="false">IF(Q39="","",IFERROR(IF(Q39&lt;=INDEX('State Rules'!$I$5:$I$11,MATCH($B39,'State Rules'!$A$5:$A$11,0)),"Yes","No"),""))</f>
        <v>No</v>
      </c>
      <c r="T39" s="8"/>
      <c r="U39" s="8"/>
      <c r="V39" s="24"/>
      <c r="W39" s="24"/>
      <c r="X39" s="24"/>
      <c r="Y39" s="8"/>
      <c r="Z39" s="10" t="n">
        <f aca="false">IF(Q39="","",IF(Q39&lt;=$B$4,N(W39)+N(X39),0))</f>
        <v>0</v>
      </c>
      <c r="AA39" s="10" t="n">
        <f aca="false">IF(OR(LEFT(N39,6)="Larger",LEFT(N39,4)="Memo"),H39,0)</f>
        <v>394</v>
      </c>
      <c r="AB39" s="12" t="str">
        <f aca="false">IFERROR(INDEX('State Rules'!$M$5:$M$11,MATCH($B39,'State Rules'!$A$5:$A$11,0)),"")</f>
        <v>LONG</v>
      </c>
      <c r="AC39" s="22" t="n">
        <f aca="false">IF(AB39="SHORT",P39,IF(AB39="LONG",Q39,""))</f>
        <v>47230</v>
      </c>
      <c r="AD39" s="11" t="str">
        <f aca="false">IF(AB39="SHORT",R39,IF(AB39="LONG",S39,""))</f>
        <v>No</v>
      </c>
    </row>
    <row r="40" customFormat="false" ht="15" hidden="false" customHeight="false" outlineLevel="0" collapsed="false">
      <c r="A40" s="11" t="s">
        <v>37</v>
      </c>
      <c r="B40" s="12" t="str">
        <f aca="false">IF(U40&lt;&gt;"",U40,IFERROR(INDEX(Summary!$B$11:$B$18,MATCH($A40,Summary!$A$11:$A$18,0)),""))</f>
        <v>TX</v>
      </c>
      <c r="C40" s="11" t="s">
        <v>37</v>
      </c>
      <c r="D40" s="11" t="n">
        <v>54</v>
      </c>
      <c r="E40" s="22" t="n">
        <v>46146</v>
      </c>
      <c r="F40" s="11" t="s">
        <v>167</v>
      </c>
      <c r="G40" s="11"/>
      <c r="H40" s="10" t="n">
        <v>540</v>
      </c>
      <c r="I40" s="11"/>
      <c r="J40" s="11" t="s">
        <v>101</v>
      </c>
      <c r="K40" s="23" t="n">
        <f aca="false">IF(E40="","",($B$4-E40)/365.25)</f>
        <v>0.424366872005476</v>
      </c>
      <c r="L40" s="11" t="str">
        <f aca="false">IF(K40="","no date",IF(K40&lt;1,"0-1 yrs",IF(K40&lt;2,"1-2 yrs",IF(K40&lt;3,"2-3 yrs",IF(K40&lt;5,"3-5 yrs","5+ yrs")))))</f>
        <v>0-1 yrs</v>
      </c>
      <c r="M40" s="11" t="s">
        <v>101</v>
      </c>
      <c r="N40" s="12" t="str">
        <f aca="false">IF(M40="Yes","Memo flag - not ours / unknown / hold: resolve",IF(OR(COUNTIF(Summary!$C$4:$R$4,H40)&gt;0,AND(A40="Philly",COUNTIF(Summary!$C$5:$R$5,H40)&gt;0),AND(A40="TUR",COUNTIF(Summary!$C$6:$R$6,H40)&gt;0),AND(A40="Leading Edge",COUNTIF(Summary!$C$7:$R$7,H40)&gt;0)),"Fee amount - presumed company revenue",IF(H40&lt;=Summary!$B$8,"Small amount - likely fee, review","Larger amount - likely includes agent commission")))</f>
        <v>Larger amount - likely includes agent commission</v>
      </c>
      <c r="O40" s="12" t="n">
        <f aca="false">IFERROR(INDEX('State Rules'!$C$5:$C$11,MATCH($B40,'State Rules'!$A$5:$A$11,0)),"")</f>
        <v>1</v>
      </c>
      <c r="P40" s="22" t="n">
        <f aca="false">IF(OR(O40="",E40=""),"",EDATE(E40,12*O40))</f>
        <v>46511</v>
      </c>
      <c r="Q40" s="22" t="n">
        <f aca="false">IF(E40="","",IFERROR(EDATE(E40,12*INDEX('State Rules'!$E$5:$E$11,MATCH($B40,'State Rules'!$A$5:$A$11,0))),""))</f>
        <v>47242</v>
      </c>
      <c r="R40" s="11" t="str">
        <f aca="false">IF(P40="","",IFERROR(IF(P40&lt;=INDEX('State Rules'!$I$5:$I$11,MATCH($B40,'State Rules'!$A$5:$A$11,0)),"Yes","No"),""))</f>
        <v>No</v>
      </c>
      <c r="S40" s="11" t="str">
        <f aca="false">IF(Q40="","",IFERROR(IF(Q40&lt;=INDEX('State Rules'!$I$5:$I$11,MATCH($B40,'State Rules'!$A$5:$A$11,0)),"Yes","No"),""))</f>
        <v>No</v>
      </c>
      <c r="T40" s="8"/>
      <c r="U40" s="8"/>
      <c r="V40" s="24"/>
      <c r="W40" s="24"/>
      <c r="X40" s="24"/>
      <c r="Y40" s="8"/>
      <c r="Z40" s="10" t="n">
        <f aca="false">IF(Q40="","",IF(Q40&lt;=$B$4,N(W40)+N(X40),0))</f>
        <v>0</v>
      </c>
      <c r="AA40" s="10" t="n">
        <f aca="false">IF(OR(LEFT(N40,6)="Larger",LEFT(N40,4)="Memo"),H40,0)</f>
        <v>540</v>
      </c>
      <c r="AB40" s="12" t="str">
        <f aca="false">IFERROR(INDEX('State Rules'!$M$5:$M$11,MATCH($B40,'State Rules'!$A$5:$A$11,0)),"")</f>
        <v>LONG</v>
      </c>
      <c r="AC40" s="22" t="n">
        <f aca="false">IF(AB40="SHORT",P40,IF(AB40="LONG",Q40,""))</f>
        <v>47242</v>
      </c>
      <c r="AD40" s="11" t="str">
        <f aca="false">IF(AB40="SHORT",R40,IF(AB40="LONG",S40,""))</f>
        <v>No</v>
      </c>
    </row>
    <row r="41" customFormat="false" ht="15" hidden="false" customHeight="false" outlineLevel="0" collapsed="false">
      <c r="A41" s="11" t="s">
        <v>37</v>
      </c>
      <c r="B41" s="12" t="str">
        <f aca="false">IF(U41&lt;&gt;"",U41,IFERROR(INDEX(Summary!$B$11:$B$18,MATCH($A41,Summary!$A$11:$A$18,0)),""))</f>
        <v>TX</v>
      </c>
      <c r="C41" s="11" t="s">
        <v>37</v>
      </c>
      <c r="D41" s="11" t="n">
        <v>56</v>
      </c>
      <c r="E41" s="22" t="n">
        <v>46195</v>
      </c>
      <c r="F41" s="11" t="s">
        <v>168</v>
      </c>
      <c r="G41" s="11" t="s">
        <v>169</v>
      </c>
      <c r="H41" s="10" t="n">
        <v>9761.14</v>
      </c>
      <c r="I41" s="11" t="s">
        <v>170</v>
      </c>
      <c r="J41" s="11" t="s">
        <v>101</v>
      </c>
      <c r="K41" s="23" t="n">
        <f aca="false">IF(E41="","",($B$4-E41)/365.25)</f>
        <v>0.290212183436003</v>
      </c>
      <c r="L41" s="11" t="str">
        <f aca="false">IF(K41="","no date",IF(K41&lt;1,"0-1 yrs",IF(K41&lt;2,"1-2 yrs",IF(K41&lt;3,"2-3 yrs",IF(K41&lt;5,"3-5 yrs","5+ yrs")))))</f>
        <v>0-1 yrs</v>
      </c>
      <c r="M41" s="25" t="s">
        <v>112</v>
      </c>
      <c r="N41" s="12" t="str">
        <f aca="false">IF(M41="Yes","Memo flag - not ours / unknown / hold: resolve",IF(OR(COUNTIF(Summary!$C$4:$R$4,H41)&gt;0,AND(A41="Philly",COUNTIF(Summary!$C$5:$R$5,H41)&gt;0),AND(A41="TUR",COUNTIF(Summary!$C$6:$R$6,H41)&gt;0),AND(A41="Leading Edge",COUNTIF(Summary!$C$7:$R$7,H41)&gt;0)),"Fee amount - presumed company revenue",IF(H41&lt;=Summary!$B$8,"Small amount - likely fee, review","Larger amount - likely includes agent commission")))</f>
        <v>Memo flag - not ours / unknown / hold: resolve</v>
      </c>
      <c r="O41" s="12" t="n">
        <f aca="false">IFERROR(INDEX('State Rules'!$C$5:$C$11,MATCH($B41,'State Rules'!$A$5:$A$11,0)),"")</f>
        <v>1</v>
      </c>
      <c r="P41" s="22" t="n">
        <f aca="false">IF(OR(O41="",E41=""),"",EDATE(E41,12*O41))</f>
        <v>46560</v>
      </c>
      <c r="Q41" s="22" t="n">
        <f aca="false">IF(E41="","",IFERROR(EDATE(E41,12*INDEX('State Rules'!$E$5:$E$11,MATCH($B41,'State Rules'!$A$5:$A$11,0))),""))</f>
        <v>47291</v>
      </c>
      <c r="R41" s="11" t="str">
        <f aca="false">IF(P41="","",IFERROR(IF(P41&lt;=INDEX('State Rules'!$I$5:$I$11,MATCH($B41,'State Rules'!$A$5:$A$11,0)),"Yes","No"),""))</f>
        <v>No</v>
      </c>
      <c r="S41" s="11" t="str">
        <f aca="false">IF(Q41="","",IFERROR(IF(Q41&lt;=INDEX('State Rules'!$I$5:$I$11,MATCH($B41,'State Rules'!$A$5:$A$11,0)),"Yes","No"),""))</f>
        <v>No</v>
      </c>
      <c r="T41" s="8"/>
      <c r="U41" s="8"/>
      <c r="V41" s="24"/>
      <c r="W41" s="24"/>
      <c r="X41" s="24"/>
      <c r="Y41" s="8"/>
      <c r="Z41" s="10" t="n">
        <f aca="false">IF(Q41="","",IF(Q41&lt;=$B$4,N(W41)+N(X41),0))</f>
        <v>0</v>
      </c>
      <c r="AA41" s="10" t="n">
        <f aca="false">IF(OR(LEFT(N41,6)="Larger",LEFT(N41,4)="Memo"),H41,0)</f>
        <v>9761.14</v>
      </c>
      <c r="AB41" s="12" t="str">
        <f aca="false">IFERROR(INDEX('State Rules'!$M$5:$M$11,MATCH($B41,'State Rules'!$A$5:$A$11,0)),"")</f>
        <v>LONG</v>
      </c>
      <c r="AC41" s="22" t="n">
        <f aca="false">IF(AB41="SHORT",P41,IF(AB41="LONG",Q41,""))</f>
        <v>47291</v>
      </c>
      <c r="AD41" s="11" t="str">
        <f aca="false">IF(AB41="SHORT",R41,IF(AB41="LONG",S41,""))</f>
        <v>No</v>
      </c>
    </row>
    <row r="42" customFormat="false" ht="15" hidden="false" customHeight="false" outlineLevel="0" collapsed="false">
      <c r="A42" s="11" t="s">
        <v>37</v>
      </c>
      <c r="B42" s="12" t="str">
        <f aca="false">IF(U42&lt;&gt;"",U42,IFERROR(INDEX(Summary!$B$11:$B$18,MATCH($A42,Summary!$A$11:$A$18,0)),""))</f>
        <v>TX</v>
      </c>
      <c r="C42" s="11" t="s">
        <v>37</v>
      </c>
      <c r="D42" s="11" t="n">
        <v>57</v>
      </c>
      <c r="E42" s="22" t="n">
        <v>46202</v>
      </c>
      <c r="F42" s="11" t="s">
        <v>171</v>
      </c>
      <c r="G42" s="11" t="s">
        <v>172</v>
      </c>
      <c r="H42" s="10" t="n">
        <v>4176</v>
      </c>
      <c r="I42" s="11"/>
      <c r="J42" s="11" t="s">
        <v>101</v>
      </c>
      <c r="K42" s="23" t="n">
        <f aca="false">IF(E42="","",($B$4-E42)/365.25)</f>
        <v>0.271047227926078</v>
      </c>
      <c r="L42" s="11" t="str">
        <f aca="false">IF(K42="","no date",IF(K42&lt;1,"0-1 yrs",IF(K42&lt;2,"1-2 yrs",IF(K42&lt;3,"2-3 yrs",IF(K42&lt;5,"3-5 yrs","5+ yrs")))))</f>
        <v>0-1 yrs</v>
      </c>
      <c r="M42" s="11" t="s">
        <v>101</v>
      </c>
      <c r="N42" s="12" t="str">
        <f aca="false">IF(M42="Yes","Memo flag - not ours / unknown / hold: resolve",IF(OR(COUNTIF(Summary!$C$4:$R$4,H42)&gt;0,AND(A42="Philly",COUNTIF(Summary!$C$5:$R$5,H42)&gt;0),AND(A42="TUR",COUNTIF(Summary!$C$6:$R$6,H42)&gt;0),AND(A42="Leading Edge",COUNTIF(Summary!$C$7:$R$7,H42)&gt;0)),"Fee amount - presumed company revenue",IF(H42&lt;=Summary!$B$8,"Small amount - likely fee, review","Larger amount - likely includes agent commission")))</f>
        <v>Larger amount - likely includes agent commission</v>
      </c>
      <c r="O42" s="12" t="n">
        <f aca="false">IFERROR(INDEX('State Rules'!$C$5:$C$11,MATCH($B42,'State Rules'!$A$5:$A$11,0)),"")</f>
        <v>1</v>
      </c>
      <c r="P42" s="22" t="n">
        <f aca="false">IF(OR(O42="",E42=""),"",EDATE(E42,12*O42))</f>
        <v>46567</v>
      </c>
      <c r="Q42" s="22" t="n">
        <f aca="false">IF(E42="","",IFERROR(EDATE(E42,12*INDEX('State Rules'!$E$5:$E$11,MATCH($B42,'State Rules'!$A$5:$A$11,0))),""))</f>
        <v>47298</v>
      </c>
      <c r="R42" s="11" t="str">
        <f aca="false">IF(P42="","",IFERROR(IF(P42&lt;=INDEX('State Rules'!$I$5:$I$11,MATCH($B42,'State Rules'!$A$5:$A$11,0)),"Yes","No"),""))</f>
        <v>No</v>
      </c>
      <c r="S42" s="11" t="str">
        <f aca="false">IF(Q42="","",IFERROR(IF(Q42&lt;=INDEX('State Rules'!$I$5:$I$11,MATCH($B42,'State Rules'!$A$5:$A$11,0)),"Yes","No"),""))</f>
        <v>No</v>
      </c>
      <c r="T42" s="8"/>
      <c r="U42" s="8"/>
      <c r="V42" s="24"/>
      <c r="W42" s="24"/>
      <c r="X42" s="24"/>
      <c r="Y42" s="8"/>
      <c r="Z42" s="10" t="n">
        <f aca="false">IF(Q42="","",IF(Q42&lt;=$B$4,N(W42)+N(X42),0))</f>
        <v>0</v>
      </c>
      <c r="AA42" s="10" t="n">
        <f aca="false">IF(OR(LEFT(N42,6)="Larger",LEFT(N42,4)="Memo"),H42,0)</f>
        <v>4176</v>
      </c>
      <c r="AB42" s="12" t="str">
        <f aca="false">IFERROR(INDEX('State Rules'!$M$5:$M$11,MATCH($B42,'State Rules'!$A$5:$A$11,0)),"")</f>
        <v>LONG</v>
      </c>
      <c r="AC42" s="22" t="n">
        <f aca="false">IF(AB42="SHORT",P42,IF(AB42="LONG",Q42,""))</f>
        <v>47298</v>
      </c>
      <c r="AD42" s="11" t="str">
        <f aca="false">IF(AB42="SHORT",R42,IF(AB42="LONG",S42,""))</f>
        <v>No</v>
      </c>
    </row>
    <row r="43" customFormat="false" ht="15" hidden="false" customHeight="false" outlineLevel="0" collapsed="false">
      <c r="A43" s="11" t="s">
        <v>37</v>
      </c>
      <c r="B43" s="12" t="str">
        <f aca="false">IF(U43&lt;&gt;"",U43,IFERROR(INDEX(Summary!$B$11:$B$18,MATCH($A43,Summary!$A$11:$A$18,0)),""))</f>
        <v>TX</v>
      </c>
      <c r="C43" s="11" t="s">
        <v>37</v>
      </c>
      <c r="D43" s="11" t="n">
        <v>58</v>
      </c>
      <c r="E43" s="22" t="n">
        <v>46213</v>
      </c>
      <c r="F43" s="11" t="s">
        <v>173</v>
      </c>
      <c r="G43" s="11" t="s">
        <v>174</v>
      </c>
      <c r="H43" s="10" t="n">
        <v>2280</v>
      </c>
      <c r="I43" s="11" t="s">
        <v>175</v>
      </c>
      <c r="J43" s="11" t="s">
        <v>101</v>
      </c>
      <c r="K43" s="23" t="n">
        <f aca="false">IF(E43="","",($B$4-E43)/365.25)</f>
        <v>0.240930869267625</v>
      </c>
      <c r="L43" s="11" t="str">
        <f aca="false">IF(K43="","no date",IF(K43&lt;1,"0-1 yrs",IF(K43&lt;2,"1-2 yrs",IF(K43&lt;3,"2-3 yrs",IF(K43&lt;5,"3-5 yrs","5+ yrs")))))</f>
        <v>0-1 yrs</v>
      </c>
      <c r="M43" s="25" t="s">
        <v>112</v>
      </c>
      <c r="N43" s="12" t="str">
        <f aca="false">IF(M43="Yes","Memo flag - not ours / unknown / hold: resolve",IF(OR(COUNTIF(Summary!$C$4:$R$4,H43)&gt;0,AND(A43="Philly",COUNTIF(Summary!$C$5:$R$5,H43)&gt;0),AND(A43="TUR",COUNTIF(Summary!$C$6:$R$6,H43)&gt;0),AND(A43="Leading Edge",COUNTIF(Summary!$C$7:$R$7,H43)&gt;0)),"Fee amount - presumed company revenue",IF(H43&lt;=Summary!$B$8,"Small amount - likely fee, review","Larger amount - likely includes agent commission")))</f>
        <v>Memo flag - not ours / unknown / hold: resolve</v>
      </c>
      <c r="O43" s="12" t="n">
        <f aca="false">IFERROR(INDEX('State Rules'!$C$5:$C$11,MATCH($B43,'State Rules'!$A$5:$A$11,0)),"")</f>
        <v>1</v>
      </c>
      <c r="P43" s="22" t="n">
        <f aca="false">IF(OR(O43="",E43=""),"",EDATE(E43,12*O43))</f>
        <v>46578</v>
      </c>
      <c r="Q43" s="22" t="n">
        <f aca="false">IF(E43="","",IFERROR(EDATE(E43,12*INDEX('State Rules'!$E$5:$E$11,MATCH($B43,'State Rules'!$A$5:$A$11,0))),""))</f>
        <v>47309</v>
      </c>
      <c r="R43" s="11" t="str">
        <f aca="false">IF(P43="","",IFERROR(IF(P43&lt;=INDEX('State Rules'!$I$5:$I$11,MATCH($B43,'State Rules'!$A$5:$A$11,0)),"Yes","No"),""))</f>
        <v>No</v>
      </c>
      <c r="S43" s="11" t="str">
        <f aca="false">IF(Q43="","",IFERROR(IF(Q43&lt;=INDEX('State Rules'!$I$5:$I$11,MATCH($B43,'State Rules'!$A$5:$A$11,0)),"Yes","No"),""))</f>
        <v>No</v>
      </c>
      <c r="T43" s="8"/>
      <c r="U43" s="8"/>
      <c r="V43" s="24"/>
      <c r="W43" s="24"/>
      <c r="X43" s="24"/>
      <c r="Y43" s="8"/>
      <c r="Z43" s="10" t="n">
        <f aca="false">IF(Q43="","",IF(Q43&lt;=$B$4,N(W43)+N(X43),0))</f>
        <v>0</v>
      </c>
      <c r="AA43" s="10" t="n">
        <f aca="false">IF(OR(LEFT(N43,6)="Larger",LEFT(N43,4)="Memo"),H43,0)</f>
        <v>2280</v>
      </c>
      <c r="AB43" s="12" t="str">
        <f aca="false">IFERROR(INDEX('State Rules'!$M$5:$M$11,MATCH($B43,'State Rules'!$A$5:$A$11,0)),"")</f>
        <v>LONG</v>
      </c>
      <c r="AC43" s="22" t="n">
        <f aca="false">IF(AB43="SHORT",P43,IF(AB43="LONG",Q43,""))</f>
        <v>47309</v>
      </c>
      <c r="AD43" s="11" t="str">
        <f aca="false">IF(AB43="SHORT",R43,IF(AB43="LONG",S43,""))</f>
        <v>No</v>
      </c>
    </row>
    <row r="44" customFormat="false" ht="15" hidden="false" customHeight="false" outlineLevel="0" collapsed="false">
      <c r="A44" s="11" t="s">
        <v>37</v>
      </c>
      <c r="B44" s="12" t="str">
        <f aca="false">IF(U44&lt;&gt;"",U44,IFERROR(INDEX(Summary!$B$11:$B$18,MATCH($A44,Summary!$A$11:$A$18,0)),""))</f>
        <v>TX</v>
      </c>
      <c r="C44" s="11" t="s">
        <v>37</v>
      </c>
      <c r="D44" s="11" t="n">
        <v>59</v>
      </c>
      <c r="E44" s="22" t="n">
        <v>46216</v>
      </c>
      <c r="F44" s="11" t="s">
        <v>176</v>
      </c>
      <c r="G44" s="11" t="s">
        <v>177</v>
      </c>
      <c r="H44" s="10" t="n">
        <v>238</v>
      </c>
      <c r="I44" s="11" t="s">
        <v>178</v>
      </c>
      <c r="J44" s="11" t="s">
        <v>101</v>
      </c>
      <c r="K44" s="23" t="n">
        <f aca="false">IF(E44="","",($B$4-E44)/365.25)</f>
        <v>0.232717316906229</v>
      </c>
      <c r="L44" s="11" t="str">
        <f aca="false">IF(K44="","no date",IF(K44&lt;1,"0-1 yrs",IF(K44&lt;2,"1-2 yrs",IF(K44&lt;3,"2-3 yrs",IF(K44&lt;5,"3-5 yrs","5+ yrs")))))</f>
        <v>0-1 yrs</v>
      </c>
      <c r="M44" s="11" t="s">
        <v>101</v>
      </c>
      <c r="N44" s="12" t="str">
        <f aca="false">IF(M44="Yes","Memo flag - not ours / unknown / hold: resolve",IF(OR(COUNTIF(Summary!$C$4:$R$4,H44)&gt;0,AND(A44="Philly",COUNTIF(Summary!$C$5:$R$5,H44)&gt;0),AND(A44="TUR",COUNTIF(Summary!$C$6:$R$6,H44)&gt;0),AND(A44="Leading Edge",COUNTIF(Summary!$C$7:$R$7,H44)&gt;0)),"Fee amount - presumed company revenue",IF(H44&lt;=Summary!$B$8,"Small amount - likely fee, review","Larger amount - likely includes agent commission")))</f>
        <v>Small amount - likely fee, review</v>
      </c>
      <c r="O44" s="12" t="n">
        <f aca="false">IFERROR(INDEX('State Rules'!$C$5:$C$11,MATCH($B44,'State Rules'!$A$5:$A$11,0)),"")</f>
        <v>1</v>
      </c>
      <c r="P44" s="22" t="n">
        <f aca="false">IF(OR(O44="",E44=""),"",EDATE(E44,12*O44))</f>
        <v>46581</v>
      </c>
      <c r="Q44" s="22" t="n">
        <f aca="false">IF(E44="","",IFERROR(EDATE(E44,12*INDEX('State Rules'!$E$5:$E$11,MATCH($B44,'State Rules'!$A$5:$A$11,0))),""))</f>
        <v>47312</v>
      </c>
      <c r="R44" s="11" t="str">
        <f aca="false">IF(P44="","",IFERROR(IF(P44&lt;=INDEX('State Rules'!$I$5:$I$11,MATCH($B44,'State Rules'!$A$5:$A$11,0)),"Yes","No"),""))</f>
        <v>No</v>
      </c>
      <c r="S44" s="11" t="str">
        <f aca="false">IF(Q44="","",IFERROR(IF(Q44&lt;=INDEX('State Rules'!$I$5:$I$11,MATCH($B44,'State Rules'!$A$5:$A$11,0)),"Yes","No"),""))</f>
        <v>No</v>
      </c>
      <c r="T44" s="8"/>
      <c r="U44" s="8"/>
      <c r="V44" s="24"/>
      <c r="W44" s="24"/>
      <c r="X44" s="24"/>
      <c r="Y44" s="8"/>
      <c r="Z44" s="10" t="n">
        <f aca="false">IF(Q44="","",IF(Q44&lt;=$B$4,N(W44)+N(X44),0))</f>
        <v>0</v>
      </c>
      <c r="AA44" s="10" t="n">
        <f aca="false">IF(OR(LEFT(N44,6)="Larger",LEFT(N44,4)="Memo"),H44,0)</f>
        <v>0</v>
      </c>
      <c r="AB44" s="12" t="str">
        <f aca="false">IFERROR(INDEX('State Rules'!$M$5:$M$11,MATCH($B44,'State Rules'!$A$5:$A$11,0)),"")</f>
        <v>LONG</v>
      </c>
      <c r="AC44" s="22" t="n">
        <f aca="false">IF(AB44="SHORT",P44,IF(AB44="LONG",Q44,""))</f>
        <v>47312</v>
      </c>
      <c r="AD44" s="11" t="str">
        <f aca="false">IF(AB44="SHORT",R44,IF(AB44="LONG",S44,""))</f>
        <v>No</v>
      </c>
    </row>
    <row r="45" customFormat="false" ht="15" hidden="false" customHeight="false" outlineLevel="0" collapsed="false">
      <c r="A45" s="11" t="s">
        <v>37</v>
      </c>
      <c r="B45" s="12" t="str">
        <f aca="false">IF(U45&lt;&gt;"",U45,IFERROR(INDEX(Summary!$B$11:$B$18,MATCH($A45,Summary!$A$11:$A$18,0)),""))</f>
        <v>TX</v>
      </c>
      <c r="C45" s="11" t="s">
        <v>37</v>
      </c>
      <c r="D45" s="11" t="n">
        <v>60</v>
      </c>
      <c r="E45" s="22" t="n">
        <v>46216</v>
      </c>
      <c r="F45" s="11" t="s">
        <v>179</v>
      </c>
      <c r="G45" s="11"/>
      <c r="H45" s="10" t="n">
        <v>89.75</v>
      </c>
      <c r="I45" s="11" t="s">
        <v>180</v>
      </c>
      <c r="J45" s="11" t="s">
        <v>101</v>
      </c>
      <c r="K45" s="23" t="n">
        <f aca="false">IF(E45="","",($B$4-E45)/365.25)</f>
        <v>0.232717316906229</v>
      </c>
      <c r="L45" s="11" t="str">
        <f aca="false">IF(K45="","no date",IF(K45&lt;1,"0-1 yrs",IF(K45&lt;2,"1-2 yrs",IF(K45&lt;3,"2-3 yrs",IF(K45&lt;5,"3-5 yrs","5+ yrs")))))</f>
        <v>0-1 yrs</v>
      </c>
      <c r="M45" s="11" t="s">
        <v>101</v>
      </c>
      <c r="N45" s="12" t="str">
        <f aca="false">IF(M45="Yes","Memo flag - not ours / unknown / hold: resolve",IF(OR(COUNTIF(Summary!$C$4:$R$4,H45)&gt;0,AND(A45="Philly",COUNTIF(Summary!$C$5:$R$5,H45)&gt;0),AND(A45="TUR",COUNTIF(Summary!$C$6:$R$6,H45)&gt;0),AND(A45="Leading Edge",COUNTIF(Summary!$C$7:$R$7,H45)&gt;0)),"Fee amount - presumed company revenue",IF(H45&lt;=Summary!$B$8,"Small amount - likely fee, review","Larger amount - likely includes agent commission")))</f>
        <v>Small amount - likely fee, review</v>
      </c>
      <c r="O45" s="12" t="n">
        <f aca="false">IFERROR(INDEX('State Rules'!$C$5:$C$11,MATCH($B45,'State Rules'!$A$5:$A$11,0)),"")</f>
        <v>1</v>
      </c>
      <c r="P45" s="22" t="n">
        <f aca="false">IF(OR(O45="",E45=""),"",EDATE(E45,12*O45))</f>
        <v>46581</v>
      </c>
      <c r="Q45" s="22" t="n">
        <f aca="false">IF(E45="","",IFERROR(EDATE(E45,12*INDEX('State Rules'!$E$5:$E$11,MATCH($B45,'State Rules'!$A$5:$A$11,0))),""))</f>
        <v>47312</v>
      </c>
      <c r="R45" s="11" t="str">
        <f aca="false">IF(P45="","",IFERROR(IF(P45&lt;=INDEX('State Rules'!$I$5:$I$11,MATCH($B45,'State Rules'!$A$5:$A$11,0)),"Yes","No"),""))</f>
        <v>No</v>
      </c>
      <c r="S45" s="11" t="str">
        <f aca="false">IF(Q45="","",IFERROR(IF(Q45&lt;=INDEX('State Rules'!$I$5:$I$11,MATCH($B45,'State Rules'!$A$5:$A$11,0)),"Yes","No"),""))</f>
        <v>No</v>
      </c>
      <c r="T45" s="8"/>
      <c r="U45" s="8"/>
      <c r="V45" s="24"/>
      <c r="W45" s="24"/>
      <c r="X45" s="24"/>
      <c r="Y45" s="8"/>
      <c r="Z45" s="10" t="n">
        <f aca="false">IF(Q45="","",IF(Q45&lt;=$B$4,N(W45)+N(X45),0))</f>
        <v>0</v>
      </c>
      <c r="AA45" s="10" t="n">
        <f aca="false">IF(OR(LEFT(N45,6)="Larger",LEFT(N45,4)="Memo"),H45,0)</f>
        <v>0</v>
      </c>
      <c r="AB45" s="12" t="str">
        <f aca="false">IFERROR(INDEX('State Rules'!$M$5:$M$11,MATCH($B45,'State Rules'!$A$5:$A$11,0)),"")</f>
        <v>LONG</v>
      </c>
      <c r="AC45" s="22" t="n">
        <f aca="false">IF(AB45="SHORT",P45,IF(AB45="LONG",Q45,""))</f>
        <v>47312</v>
      </c>
      <c r="AD45" s="11" t="str">
        <f aca="false">IF(AB45="SHORT",R45,IF(AB45="LONG",S45,""))</f>
        <v>No</v>
      </c>
    </row>
    <row r="46" customFormat="false" ht="15" hidden="false" customHeight="false" outlineLevel="0" collapsed="false">
      <c r="A46" s="11" t="s">
        <v>37</v>
      </c>
      <c r="B46" s="12" t="str">
        <f aca="false">IF(U46&lt;&gt;"",U46,IFERROR(INDEX(Summary!$B$11:$B$18,MATCH($A46,Summary!$A$11:$A$18,0)),""))</f>
        <v>TX</v>
      </c>
      <c r="C46" s="11" t="s">
        <v>37</v>
      </c>
      <c r="D46" s="11" t="n">
        <v>61</v>
      </c>
      <c r="E46" s="22" t="n">
        <v>46223</v>
      </c>
      <c r="F46" s="11" t="s">
        <v>181</v>
      </c>
      <c r="G46" s="11" t="s">
        <v>182</v>
      </c>
      <c r="H46" s="10" t="n">
        <v>69</v>
      </c>
      <c r="I46" s="11" t="s">
        <v>183</v>
      </c>
      <c r="J46" s="11" t="s">
        <v>101</v>
      </c>
      <c r="K46" s="23" t="n">
        <f aca="false">IF(E46="","",($B$4-E46)/365.25)</f>
        <v>0.213552361396304</v>
      </c>
      <c r="L46" s="11" t="str">
        <f aca="false">IF(K46="","no date",IF(K46&lt;1,"0-1 yrs",IF(K46&lt;2,"1-2 yrs",IF(K46&lt;3,"2-3 yrs",IF(K46&lt;5,"3-5 yrs","5+ yrs")))))</f>
        <v>0-1 yrs</v>
      </c>
      <c r="M46" s="11" t="s">
        <v>101</v>
      </c>
      <c r="N46" s="12" t="str">
        <f aca="false">IF(M46="Yes","Memo flag - not ours / unknown / hold: resolve",IF(OR(COUNTIF(Summary!$C$4:$R$4,H46)&gt;0,AND(A46="Philly",COUNTIF(Summary!$C$5:$R$5,H46)&gt;0),AND(A46="TUR",COUNTIF(Summary!$C$6:$R$6,H46)&gt;0),AND(A46="Leading Edge",COUNTIF(Summary!$C$7:$R$7,H46)&gt;0)),"Fee amount - presumed company revenue",IF(H46&lt;=Summary!$B$8,"Small amount - likely fee, review","Larger amount - likely includes agent commission")))</f>
        <v>Fee amount - presumed company revenue</v>
      </c>
      <c r="O46" s="12" t="n">
        <f aca="false">IFERROR(INDEX('State Rules'!$C$5:$C$11,MATCH($B46,'State Rules'!$A$5:$A$11,0)),"")</f>
        <v>1</v>
      </c>
      <c r="P46" s="22" t="n">
        <f aca="false">IF(OR(O46="",E46=""),"",EDATE(E46,12*O46))</f>
        <v>46588</v>
      </c>
      <c r="Q46" s="22" t="n">
        <f aca="false">IF(E46="","",IFERROR(EDATE(E46,12*INDEX('State Rules'!$E$5:$E$11,MATCH($B46,'State Rules'!$A$5:$A$11,0))),""))</f>
        <v>47319</v>
      </c>
      <c r="R46" s="11" t="str">
        <f aca="false">IF(P46="","",IFERROR(IF(P46&lt;=INDEX('State Rules'!$I$5:$I$11,MATCH($B46,'State Rules'!$A$5:$A$11,0)),"Yes","No"),""))</f>
        <v>No</v>
      </c>
      <c r="S46" s="11" t="str">
        <f aca="false">IF(Q46="","",IFERROR(IF(Q46&lt;=INDEX('State Rules'!$I$5:$I$11,MATCH($B46,'State Rules'!$A$5:$A$11,0)),"Yes","No"),""))</f>
        <v>No</v>
      </c>
      <c r="T46" s="8"/>
      <c r="U46" s="8"/>
      <c r="V46" s="24"/>
      <c r="W46" s="24"/>
      <c r="X46" s="24"/>
      <c r="Y46" s="8"/>
      <c r="Z46" s="10" t="n">
        <f aca="false">IF(Q46="","",IF(Q46&lt;=$B$4,N(W46)+N(X46),0))</f>
        <v>0</v>
      </c>
      <c r="AA46" s="10" t="n">
        <f aca="false">IF(OR(LEFT(N46,6)="Larger",LEFT(N46,4)="Memo"),H46,0)</f>
        <v>0</v>
      </c>
      <c r="AB46" s="12" t="str">
        <f aca="false">IFERROR(INDEX('State Rules'!$M$5:$M$11,MATCH($B46,'State Rules'!$A$5:$A$11,0)),"")</f>
        <v>LONG</v>
      </c>
      <c r="AC46" s="22" t="n">
        <f aca="false">IF(AB46="SHORT",P46,IF(AB46="LONG",Q46,""))</f>
        <v>47319</v>
      </c>
      <c r="AD46" s="11" t="str">
        <f aca="false">IF(AB46="SHORT",R46,IF(AB46="LONG",S46,""))</f>
        <v>No</v>
      </c>
    </row>
    <row r="47" customFormat="false" ht="15" hidden="false" customHeight="false" outlineLevel="0" collapsed="false">
      <c r="A47" s="11" t="s">
        <v>37</v>
      </c>
      <c r="B47" s="12" t="str">
        <f aca="false">IF(U47&lt;&gt;"",U47,IFERROR(INDEX(Summary!$B$11:$B$18,MATCH($A47,Summary!$A$11:$A$18,0)),""))</f>
        <v>TX</v>
      </c>
      <c r="C47" s="11" t="s">
        <v>37</v>
      </c>
      <c r="D47" s="11" t="n">
        <v>62</v>
      </c>
      <c r="E47" s="22" t="n">
        <v>46224</v>
      </c>
      <c r="F47" s="11" t="s">
        <v>184</v>
      </c>
      <c r="G47" s="11" t="s">
        <v>185</v>
      </c>
      <c r="H47" s="10" t="n">
        <v>6078</v>
      </c>
      <c r="I47" s="11" t="s">
        <v>186</v>
      </c>
      <c r="J47" s="11" t="s">
        <v>101</v>
      </c>
      <c r="K47" s="23" t="n">
        <f aca="false">IF(E47="","",($B$4-E47)/365.25)</f>
        <v>0.210814510609172</v>
      </c>
      <c r="L47" s="11" t="str">
        <f aca="false">IF(K47="","no date",IF(K47&lt;1,"0-1 yrs",IF(K47&lt;2,"1-2 yrs",IF(K47&lt;3,"2-3 yrs",IF(K47&lt;5,"3-5 yrs","5+ yrs")))))</f>
        <v>0-1 yrs</v>
      </c>
      <c r="M47" s="25" t="s">
        <v>112</v>
      </c>
      <c r="N47" s="12" t="str">
        <f aca="false">IF(M47="Yes","Memo flag - not ours / unknown / hold: resolve",IF(OR(COUNTIF(Summary!$C$4:$R$4,H47)&gt;0,AND(A47="Philly",COUNTIF(Summary!$C$5:$R$5,H47)&gt;0),AND(A47="TUR",COUNTIF(Summary!$C$6:$R$6,H47)&gt;0),AND(A47="Leading Edge",COUNTIF(Summary!$C$7:$R$7,H47)&gt;0)),"Fee amount - presumed company revenue",IF(H47&lt;=Summary!$B$8,"Small amount - likely fee, review","Larger amount - likely includes agent commission")))</f>
        <v>Memo flag - not ours / unknown / hold: resolve</v>
      </c>
      <c r="O47" s="12" t="n">
        <f aca="false">IFERROR(INDEX('State Rules'!$C$5:$C$11,MATCH($B47,'State Rules'!$A$5:$A$11,0)),"")</f>
        <v>1</v>
      </c>
      <c r="P47" s="22" t="n">
        <f aca="false">IF(OR(O47="",E47=""),"",EDATE(E47,12*O47))</f>
        <v>46589</v>
      </c>
      <c r="Q47" s="22" t="n">
        <f aca="false">IF(E47="","",IFERROR(EDATE(E47,12*INDEX('State Rules'!$E$5:$E$11,MATCH($B47,'State Rules'!$A$5:$A$11,0))),""))</f>
        <v>47320</v>
      </c>
      <c r="R47" s="11" t="str">
        <f aca="false">IF(P47="","",IFERROR(IF(P47&lt;=INDEX('State Rules'!$I$5:$I$11,MATCH($B47,'State Rules'!$A$5:$A$11,0)),"Yes","No"),""))</f>
        <v>No</v>
      </c>
      <c r="S47" s="11" t="str">
        <f aca="false">IF(Q47="","",IFERROR(IF(Q47&lt;=INDEX('State Rules'!$I$5:$I$11,MATCH($B47,'State Rules'!$A$5:$A$11,0)),"Yes","No"),""))</f>
        <v>No</v>
      </c>
      <c r="T47" s="8"/>
      <c r="U47" s="8"/>
      <c r="V47" s="24"/>
      <c r="W47" s="24"/>
      <c r="X47" s="24"/>
      <c r="Y47" s="8"/>
      <c r="Z47" s="10" t="n">
        <f aca="false">IF(Q47="","",IF(Q47&lt;=$B$4,N(W47)+N(X47),0))</f>
        <v>0</v>
      </c>
      <c r="AA47" s="10" t="n">
        <f aca="false">IF(OR(LEFT(N47,6)="Larger",LEFT(N47,4)="Memo"),H47,0)</f>
        <v>6078</v>
      </c>
      <c r="AB47" s="12" t="str">
        <f aca="false">IFERROR(INDEX('State Rules'!$M$5:$M$11,MATCH($B47,'State Rules'!$A$5:$A$11,0)),"")</f>
        <v>LONG</v>
      </c>
      <c r="AC47" s="22" t="n">
        <f aca="false">IF(AB47="SHORT",P47,IF(AB47="LONG",Q47,""))</f>
        <v>47320</v>
      </c>
      <c r="AD47" s="11" t="str">
        <f aca="false">IF(AB47="SHORT",R47,IF(AB47="LONG",S47,""))</f>
        <v>No</v>
      </c>
    </row>
    <row r="48" customFormat="false" ht="15" hidden="false" customHeight="false" outlineLevel="0" collapsed="false">
      <c r="A48" s="11" t="s">
        <v>37</v>
      </c>
      <c r="B48" s="12" t="str">
        <f aca="false">IF(U48&lt;&gt;"",U48,IFERROR(INDEX(Summary!$B$11:$B$18,MATCH($A48,Summary!$A$11:$A$18,0)),""))</f>
        <v>TX</v>
      </c>
      <c r="C48" s="11" t="s">
        <v>37</v>
      </c>
      <c r="D48" s="11" t="n">
        <v>63</v>
      </c>
      <c r="E48" s="22" t="n">
        <v>46231</v>
      </c>
      <c r="F48" s="11" t="s">
        <v>187</v>
      </c>
      <c r="G48" s="11" t="s">
        <v>188</v>
      </c>
      <c r="H48" s="10" t="n">
        <v>701.5</v>
      </c>
      <c r="I48" s="11" t="s">
        <v>189</v>
      </c>
      <c r="J48" s="11" t="s">
        <v>101</v>
      </c>
      <c r="K48" s="23" t="n">
        <f aca="false">IF(E48="","",($B$4-E48)/365.25)</f>
        <v>0.191649555099247</v>
      </c>
      <c r="L48" s="11" t="str">
        <f aca="false">IF(K48="","no date",IF(K48&lt;1,"0-1 yrs",IF(K48&lt;2,"1-2 yrs",IF(K48&lt;3,"2-3 yrs",IF(K48&lt;5,"3-5 yrs","5+ yrs")))))</f>
        <v>0-1 yrs</v>
      </c>
      <c r="M48" s="25" t="s">
        <v>112</v>
      </c>
      <c r="N48" s="12" t="str">
        <f aca="false">IF(M48="Yes","Memo flag - not ours / unknown / hold: resolve",IF(OR(COUNTIF(Summary!$C$4:$R$4,H48)&gt;0,AND(A48="Philly",COUNTIF(Summary!$C$5:$R$5,H48)&gt;0),AND(A48="TUR",COUNTIF(Summary!$C$6:$R$6,H48)&gt;0),AND(A48="Leading Edge",COUNTIF(Summary!$C$7:$R$7,H48)&gt;0)),"Fee amount - presumed company revenue",IF(H48&lt;=Summary!$B$8,"Small amount - likely fee, review","Larger amount - likely includes agent commission")))</f>
        <v>Memo flag - not ours / unknown / hold: resolve</v>
      </c>
      <c r="O48" s="12" t="n">
        <f aca="false">IFERROR(INDEX('State Rules'!$C$5:$C$11,MATCH($B48,'State Rules'!$A$5:$A$11,0)),"")</f>
        <v>1</v>
      </c>
      <c r="P48" s="22" t="n">
        <f aca="false">IF(OR(O48="",E48=""),"",EDATE(E48,12*O48))</f>
        <v>46596</v>
      </c>
      <c r="Q48" s="22" t="n">
        <f aca="false">IF(E48="","",IFERROR(EDATE(E48,12*INDEX('State Rules'!$E$5:$E$11,MATCH($B48,'State Rules'!$A$5:$A$11,0))),""))</f>
        <v>47327</v>
      </c>
      <c r="R48" s="11" t="str">
        <f aca="false">IF(P48="","",IFERROR(IF(P48&lt;=INDEX('State Rules'!$I$5:$I$11,MATCH($B48,'State Rules'!$A$5:$A$11,0)),"Yes","No"),""))</f>
        <v>No</v>
      </c>
      <c r="S48" s="11" t="str">
        <f aca="false">IF(Q48="","",IFERROR(IF(Q48&lt;=INDEX('State Rules'!$I$5:$I$11,MATCH($B48,'State Rules'!$A$5:$A$11,0)),"Yes","No"),""))</f>
        <v>No</v>
      </c>
      <c r="T48" s="8"/>
      <c r="U48" s="8"/>
      <c r="V48" s="24"/>
      <c r="W48" s="24"/>
      <c r="X48" s="24"/>
      <c r="Y48" s="8"/>
      <c r="Z48" s="10" t="n">
        <f aca="false">IF(Q48="","",IF(Q48&lt;=$B$4,N(W48)+N(X48),0))</f>
        <v>0</v>
      </c>
      <c r="AA48" s="10" t="n">
        <f aca="false">IF(OR(LEFT(N48,6)="Larger",LEFT(N48,4)="Memo"),H48,0)</f>
        <v>701.5</v>
      </c>
      <c r="AB48" s="12" t="str">
        <f aca="false">IFERROR(INDEX('State Rules'!$M$5:$M$11,MATCH($B48,'State Rules'!$A$5:$A$11,0)),"")</f>
        <v>LONG</v>
      </c>
      <c r="AC48" s="22" t="n">
        <f aca="false">IF(AB48="SHORT",P48,IF(AB48="LONG",Q48,""))</f>
        <v>47327</v>
      </c>
      <c r="AD48" s="11" t="str">
        <f aca="false">IF(AB48="SHORT",R48,IF(AB48="LONG",S48,""))</f>
        <v>No</v>
      </c>
    </row>
    <row r="49" customFormat="false" ht="15" hidden="false" customHeight="false" outlineLevel="0" collapsed="false">
      <c r="A49" s="11" t="s">
        <v>37</v>
      </c>
      <c r="B49" s="12" t="str">
        <f aca="false">IF(U49&lt;&gt;"",U49,IFERROR(INDEX(Summary!$B$11:$B$18,MATCH($A49,Summary!$A$11:$A$18,0)),""))</f>
        <v>TX</v>
      </c>
      <c r="C49" s="11" t="s">
        <v>37</v>
      </c>
      <c r="D49" s="11" t="n">
        <v>66</v>
      </c>
      <c r="E49" s="22" t="n">
        <v>46241</v>
      </c>
      <c r="F49" s="11" t="s">
        <v>190</v>
      </c>
      <c r="G49" s="11" t="s">
        <v>191</v>
      </c>
      <c r="H49" s="10" t="n">
        <v>532.5</v>
      </c>
      <c r="I49" s="11"/>
      <c r="J49" s="11" t="s">
        <v>101</v>
      </c>
      <c r="K49" s="23" t="n">
        <f aca="false">IF(E49="","",($B$4-E49)/365.25)</f>
        <v>0.164271047227926</v>
      </c>
      <c r="L49" s="11" t="str">
        <f aca="false">IF(K49="","no date",IF(K49&lt;1,"0-1 yrs",IF(K49&lt;2,"1-2 yrs",IF(K49&lt;3,"2-3 yrs",IF(K49&lt;5,"3-5 yrs","5+ yrs")))))</f>
        <v>0-1 yrs</v>
      </c>
      <c r="M49" s="11" t="s">
        <v>101</v>
      </c>
      <c r="N49" s="12" t="str">
        <f aca="false">IF(M49="Yes","Memo flag - not ours / unknown / hold: resolve",IF(OR(COUNTIF(Summary!$C$4:$R$4,H49)&gt;0,AND(A49="Philly",COUNTIF(Summary!$C$5:$R$5,H49)&gt;0),AND(A49="TUR",COUNTIF(Summary!$C$6:$R$6,H49)&gt;0),AND(A49="Leading Edge",COUNTIF(Summary!$C$7:$R$7,H49)&gt;0)),"Fee amount - presumed company revenue",IF(H49&lt;=Summary!$B$8,"Small amount - likely fee, review","Larger amount - likely includes agent commission")))</f>
        <v>Larger amount - likely includes agent commission</v>
      </c>
      <c r="O49" s="12" t="n">
        <f aca="false">IFERROR(INDEX('State Rules'!$C$5:$C$11,MATCH($B49,'State Rules'!$A$5:$A$11,0)),"")</f>
        <v>1</v>
      </c>
      <c r="P49" s="22" t="n">
        <f aca="false">IF(OR(O49="",E49=""),"",EDATE(E49,12*O49))</f>
        <v>46606</v>
      </c>
      <c r="Q49" s="22" t="n">
        <f aca="false">IF(E49="","",IFERROR(EDATE(E49,12*INDEX('State Rules'!$E$5:$E$11,MATCH($B49,'State Rules'!$A$5:$A$11,0))),""))</f>
        <v>47337</v>
      </c>
      <c r="R49" s="11" t="str">
        <f aca="false">IF(P49="","",IFERROR(IF(P49&lt;=INDEX('State Rules'!$I$5:$I$11,MATCH($B49,'State Rules'!$A$5:$A$11,0)),"Yes","No"),""))</f>
        <v>No</v>
      </c>
      <c r="S49" s="11" t="str">
        <f aca="false">IF(Q49="","",IFERROR(IF(Q49&lt;=INDEX('State Rules'!$I$5:$I$11,MATCH($B49,'State Rules'!$A$5:$A$11,0)),"Yes","No"),""))</f>
        <v>No</v>
      </c>
      <c r="T49" s="8"/>
      <c r="U49" s="8"/>
      <c r="V49" s="24"/>
      <c r="W49" s="24"/>
      <c r="X49" s="24"/>
      <c r="Y49" s="8"/>
      <c r="Z49" s="10" t="n">
        <f aca="false">IF(Q49="","",IF(Q49&lt;=$B$4,N(W49)+N(X49),0))</f>
        <v>0</v>
      </c>
      <c r="AA49" s="10" t="n">
        <f aca="false">IF(OR(LEFT(N49,6)="Larger",LEFT(N49,4)="Memo"),H49,0)</f>
        <v>532.5</v>
      </c>
      <c r="AB49" s="12" t="str">
        <f aca="false">IFERROR(INDEX('State Rules'!$M$5:$M$11,MATCH($B49,'State Rules'!$A$5:$A$11,0)),"")</f>
        <v>LONG</v>
      </c>
      <c r="AC49" s="22" t="n">
        <f aca="false">IF(AB49="SHORT",P49,IF(AB49="LONG",Q49,""))</f>
        <v>47337</v>
      </c>
      <c r="AD49" s="11" t="str">
        <f aca="false">IF(AB49="SHORT",R49,IF(AB49="LONG",S49,""))</f>
        <v>No</v>
      </c>
    </row>
    <row r="50" customFormat="false" ht="15" hidden="false" customHeight="false" outlineLevel="0" collapsed="false">
      <c r="A50" s="11" t="s">
        <v>37</v>
      </c>
      <c r="B50" s="12" t="str">
        <f aca="false">IF(U50&lt;&gt;"",U50,IFERROR(INDEX(Summary!$B$11:$B$18,MATCH($A50,Summary!$A$11:$A$18,0)),""))</f>
        <v>TX</v>
      </c>
      <c r="C50" s="11" t="s">
        <v>37</v>
      </c>
      <c r="D50" s="11" t="n">
        <v>67</v>
      </c>
      <c r="E50" s="22" t="n">
        <v>46244</v>
      </c>
      <c r="F50" s="11" t="s">
        <v>192</v>
      </c>
      <c r="G50" s="11" t="s">
        <v>193</v>
      </c>
      <c r="H50" s="10" t="n">
        <v>2691</v>
      </c>
      <c r="I50" s="11" t="s">
        <v>194</v>
      </c>
      <c r="J50" s="11" t="s">
        <v>101</v>
      </c>
      <c r="K50" s="23" t="n">
        <f aca="false">IF(E50="","",($B$4-E50)/365.25)</f>
        <v>0.15605749486653</v>
      </c>
      <c r="L50" s="11" t="str">
        <f aca="false">IF(K50="","no date",IF(K50&lt;1,"0-1 yrs",IF(K50&lt;2,"1-2 yrs",IF(K50&lt;3,"2-3 yrs",IF(K50&lt;5,"3-5 yrs","5+ yrs")))))</f>
        <v>0-1 yrs</v>
      </c>
      <c r="M50" s="11" t="s">
        <v>101</v>
      </c>
      <c r="N50" s="12" t="str">
        <f aca="false">IF(M50="Yes","Memo flag - not ours / unknown / hold: resolve",IF(OR(COUNTIF(Summary!$C$4:$R$4,H50)&gt;0,AND(A50="Philly",COUNTIF(Summary!$C$5:$R$5,H50)&gt;0),AND(A50="TUR",COUNTIF(Summary!$C$6:$R$6,H50)&gt;0),AND(A50="Leading Edge",COUNTIF(Summary!$C$7:$R$7,H50)&gt;0)),"Fee amount - presumed company revenue",IF(H50&lt;=Summary!$B$8,"Small amount - likely fee, review","Larger amount - likely includes agent commission")))</f>
        <v>Larger amount - likely includes agent commission</v>
      </c>
      <c r="O50" s="12" t="n">
        <f aca="false">IFERROR(INDEX('State Rules'!$C$5:$C$11,MATCH($B50,'State Rules'!$A$5:$A$11,0)),"")</f>
        <v>1</v>
      </c>
      <c r="P50" s="22" t="n">
        <f aca="false">IF(OR(O50="",E50=""),"",EDATE(E50,12*O50))</f>
        <v>46609</v>
      </c>
      <c r="Q50" s="22" t="n">
        <f aca="false">IF(E50="","",IFERROR(EDATE(E50,12*INDEX('State Rules'!$E$5:$E$11,MATCH($B50,'State Rules'!$A$5:$A$11,0))),""))</f>
        <v>47340</v>
      </c>
      <c r="R50" s="11" t="str">
        <f aca="false">IF(P50="","",IFERROR(IF(P50&lt;=INDEX('State Rules'!$I$5:$I$11,MATCH($B50,'State Rules'!$A$5:$A$11,0)),"Yes","No"),""))</f>
        <v>No</v>
      </c>
      <c r="S50" s="11" t="str">
        <f aca="false">IF(Q50="","",IFERROR(IF(Q50&lt;=INDEX('State Rules'!$I$5:$I$11,MATCH($B50,'State Rules'!$A$5:$A$11,0)),"Yes","No"),""))</f>
        <v>No</v>
      </c>
      <c r="T50" s="8"/>
      <c r="U50" s="8"/>
      <c r="V50" s="24"/>
      <c r="W50" s="24"/>
      <c r="X50" s="24"/>
      <c r="Y50" s="8"/>
      <c r="Z50" s="10" t="n">
        <f aca="false">IF(Q50="","",IF(Q50&lt;=$B$4,N(W50)+N(X50),0))</f>
        <v>0</v>
      </c>
      <c r="AA50" s="10" t="n">
        <f aca="false">IF(OR(LEFT(N50,6)="Larger",LEFT(N50,4)="Memo"),H50,0)</f>
        <v>2691</v>
      </c>
      <c r="AB50" s="12" t="str">
        <f aca="false">IFERROR(INDEX('State Rules'!$M$5:$M$11,MATCH($B50,'State Rules'!$A$5:$A$11,0)),"")</f>
        <v>LONG</v>
      </c>
      <c r="AC50" s="22" t="n">
        <f aca="false">IF(AB50="SHORT",P50,IF(AB50="LONG",Q50,""))</f>
        <v>47340</v>
      </c>
      <c r="AD50" s="11" t="str">
        <f aca="false">IF(AB50="SHORT",R50,IF(AB50="LONG",S50,""))</f>
        <v>No</v>
      </c>
    </row>
    <row r="51" customFormat="false" ht="15" hidden="false" customHeight="false" outlineLevel="0" collapsed="false">
      <c r="A51" s="11" t="s">
        <v>37</v>
      </c>
      <c r="B51" s="12" t="str">
        <f aca="false">IF(U51&lt;&gt;"",U51,IFERROR(INDEX(Summary!$B$11:$B$18,MATCH($A51,Summary!$A$11:$A$18,0)),""))</f>
        <v>TX</v>
      </c>
      <c r="C51" s="11" t="s">
        <v>37</v>
      </c>
      <c r="D51" s="11" t="n">
        <v>68</v>
      </c>
      <c r="E51" s="22" t="n">
        <v>46245</v>
      </c>
      <c r="F51" s="11" t="s">
        <v>195</v>
      </c>
      <c r="G51" s="11" t="s">
        <v>196</v>
      </c>
      <c r="H51" s="10" t="n">
        <v>1000</v>
      </c>
      <c r="I51" s="11" t="s">
        <v>197</v>
      </c>
      <c r="J51" s="11" t="s">
        <v>101</v>
      </c>
      <c r="K51" s="23" t="n">
        <f aca="false">IF(E51="","",($B$4-E51)/365.25)</f>
        <v>0.153319644079398</v>
      </c>
      <c r="L51" s="11" t="str">
        <f aca="false">IF(K51="","no date",IF(K51&lt;1,"0-1 yrs",IF(K51&lt;2,"1-2 yrs",IF(K51&lt;3,"2-3 yrs",IF(K51&lt;5,"3-5 yrs","5+ yrs")))))</f>
        <v>0-1 yrs</v>
      </c>
      <c r="M51" s="11" t="s">
        <v>101</v>
      </c>
      <c r="N51" s="12" t="str">
        <f aca="false">IF(M51="Yes","Memo flag - not ours / unknown / hold: resolve",IF(OR(COUNTIF(Summary!$C$4:$R$4,H51)&gt;0,AND(A51="Philly",COUNTIF(Summary!$C$5:$R$5,H51)&gt;0),AND(A51="TUR",COUNTIF(Summary!$C$6:$R$6,H51)&gt;0),AND(A51="Leading Edge",COUNTIF(Summary!$C$7:$R$7,H51)&gt;0)),"Fee amount - presumed company revenue",IF(H51&lt;=Summary!$B$8,"Small amount - likely fee, review","Larger amount - likely includes agent commission")))</f>
        <v>Larger amount - likely includes agent commission</v>
      </c>
      <c r="O51" s="12" t="n">
        <f aca="false">IFERROR(INDEX('State Rules'!$C$5:$C$11,MATCH($B51,'State Rules'!$A$5:$A$11,0)),"")</f>
        <v>1</v>
      </c>
      <c r="P51" s="22" t="n">
        <f aca="false">IF(OR(O51="",E51=""),"",EDATE(E51,12*O51))</f>
        <v>46610</v>
      </c>
      <c r="Q51" s="22" t="n">
        <f aca="false">IF(E51="","",IFERROR(EDATE(E51,12*INDEX('State Rules'!$E$5:$E$11,MATCH($B51,'State Rules'!$A$5:$A$11,0))),""))</f>
        <v>47341</v>
      </c>
      <c r="R51" s="11" t="str">
        <f aca="false">IF(P51="","",IFERROR(IF(P51&lt;=INDEX('State Rules'!$I$5:$I$11,MATCH($B51,'State Rules'!$A$5:$A$11,0)),"Yes","No"),""))</f>
        <v>No</v>
      </c>
      <c r="S51" s="11" t="str">
        <f aca="false">IF(Q51="","",IFERROR(IF(Q51&lt;=INDEX('State Rules'!$I$5:$I$11,MATCH($B51,'State Rules'!$A$5:$A$11,0)),"Yes","No"),""))</f>
        <v>No</v>
      </c>
      <c r="T51" s="8"/>
      <c r="U51" s="8"/>
      <c r="V51" s="24"/>
      <c r="W51" s="24"/>
      <c r="X51" s="24"/>
      <c r="Y51" s="8"/>
      <c r="Z51" s="10" t="n">
        <f aca="false">IF(Q51="","",IF(Q51&lt;=$B$4,N(W51)+N(X51),0))</f>
        <v>0</v>
      </c>
      <c r="AA51" s="10" t="n">
        <f aca="false">IF(OR(LEFT(N51,6)="Larger",LEFT(N51,4)="Memo"),H51,0)</f>
        <v>1000</v>
      </c>
      <c r="AB51" s="12" t="str">
        <f aca="false">IFERROR(INDEX('State Rules'!$M$5:$M$11,MATCH($B51,'State Rules'!$A$5:$A$11,0)),"")</f>
        <v>LONG</v>
      </c>
      <c r="AC51" s="22" t="n">
        <f aca="false">IF(AB51="SHORT",P51,IF(AB51="LONG",Q51,""))</f>
        <v>47341</v>
      </c>
      <c r="AD51" s="11" t="str">
        <f aca="false">IF(AB51="SHORT",R51,IF(AB51="LONG",S51,""))</f>
        <v>No</v>
      </c>
    </row>
    <row r="52" customFormat="false" ht="15" hidden="false" customHeight="false" outlineLevel="0" collapsed="false">
      <c r="A52" s="11" t="s">
        <v>37</v>
      </c>
      <c r="B52" s="12" t="str">
        <f aca="false">IF(U52&lt;&gt;"",U52,IFERROR(INDEX(Summary!$B$11:$B$18,MATCH($A52,Summary!$A$11:$A$18,0)),""))</f>
        <v>TX</v>
      </c>
      <c r="C52" s="11" t="s">
        <v>37</v>
      </c>
      <c r="D52" s="11" t="n">
        <v>72</v>
      </c>
      <c r="E52" s="22" t="n">
        <v>46255</v>
      </c>
      <c r="F52" s="11" t="s">
        <v>198</v>
      </c>
      <c r="G52" s="11" t="s">
        <v>199</v>
      </c>
      <c r="H52" s="10" t="n">
        <v>900</v>
      </c>
      <c r="I52" s="11" t="s">
        <v>200</v>
      </c>
      <c r="J52" s="11" t="s">
        <v>101</v>
      </c>
      <c r="K52" s="23" t="n">
        <f aca="false">IF(E52="","",($B$4-E52)/365.25)</f>
        <v>0.125941136208077</v>
      </c>
      <c r="L52" s="11" t="str">
        <f aca="false">IF(K52="","no date",IF(K52&lt;1,"0-1 yrs",IF(K52&lt;2,"1-2 yrs",IF(K52&lt;3,"2-3 yrs",IF(K52&lt;5,"3-5 yrs","5+ yrs")))))</f>
        <v>0-1 yrs</v>
      </c>
      <c r="M52" s="11" t="s">
        <v>101</v>
      </c>
      <c r="N52" s="12" t="str">
        <f aca="false">IF(M52="Yes","Memo flag - not ours / unknown / hold: resolve",IF(OR(COUNTIF(Summary!$C$4:$R$4,H52)&gt;0,AND(A52="Philly",COUNTIF(Summary!$C$5:$R$5,H52)&gt;0),AND(A52="TUR",COUNTIF(Summary!$C$6:$R$6,H52)&gt;0),AND(A52="Leading Edge",COUNTIF(Summary!$C$7:$R$7,H52)&gt;0)),"Fee amount - presumed company revenue",IF(H52&lt;=Summary!$B$8,"Small amount - likely fee, review","Larger amount - likely includes agent commission")))</f>
        <v>Larger amount - likely includes agent commission</v>
      </c>
      <c r="O52" s="12" t="n">
        <f aca="false">IFERROR(INDEX('State Rules'!$C$5:$C$11,MATCH($B52,'State Rules'!$A$5:$A$11,0)),"")</f>
        <v>1</v>
      </c>
      <c r="P52" s="22" t="n">
        <f aca="false">IF(OR(O52="",E52=""),"",EDATE(E52,12*O52))</f>
        <v>46620</v>
      </c>
      <c r="Q52" s="22" t="n">
        <f aca="false">IF(E52="","",IFERROR(EDATE(E52,12*INDEX('State Rules'!$E$5:$E$11,MATCH($B52,'State Rules'!$A$5:$A$11,0))),""))</f>
        <v>47351</v>
      </c>
      <c r="R52" s="11" t="str">
        <f aca="false">IF(P52="","",IFERROR(IF(P52&lt;=INDEX('State Rules'!$I$5:$I$11,MATCH($B52,'State Rules'!$A$5:$A$11,0)),"Yes","No"),""))</f>
        <v>No</v>
      </c>
      <c r="S52" s="11" t="str">
        <f aca="false">IF(Q52="","",IFERROR(IF(Q52&lt;=INDEX('State Rules'!$I$5:$I$11,MATCH($B52,'State Rules'!$A$5:$A$11,0)),"Yes","No"),""))</f>
        <v>No</v>
      </c>
      <c r="T52" s="8"/>
      <c r="U52" s="8"/>
      <c r="V52" s="24"/>
      <c r="W52" s="24"/>
      <c r="X52" s="24"/>
      <c r="Y52" s="8"/>
      <c r="Z52" s="10" t="n">
        <f aca="false">IF(Q52="","",IF(Q52&lt;=$B$4,N(W52)+N(X52),0))</f>
        <v>0</v>
      </c>
      <c r="AA52" s="10" t="n">
        <f aca="false">IF(OR(LEFT(N52,6)="Larger",LEFT(N52,4)="Memo"),H52,0)</f>
        <v>900</v>
      </c>
      <c r="AB52" s="12" t="str">
        <f aca="false">IFERROR(INDEX('State Rules'!$M$5:$M$11,MATCH($B52,'State Rules'!$A$5:$A$11,0)),"")</f>
        <v>LONG</v>
      </c>
      <c r="AC52" s="22" t="n">
        <f aca="false">IF(AB52="SHORT",P52,IF(AB52="LONG",Q52,""))</f>
        <v>47351</v>
      </c>
      <c r="AD52" s="11" t="str">
        <f aca="false">IF(AB52="SHORT",R52,IF(AB52="LONG",S52,""))</f>
        <v>No</v>
      </c>
    </row>
    <row r="53" customFormat="false" ht="15" hidden="false" customHeight="false" outlineLevel="0" collapsed="false">
      <c r="A53" s="11" t="s">
        <v>37</v>
      </c>
      <c r="B53" s="12" t="str">
        <f aca="false">IF(U53&lt;&gt;"",U53,IFERROR(INDEX(Summary!$B$11:$B$18,MATCH($A53,Summary!$A$11:$A$18,0)),""))</f>
        <v>TX</v>
      </c>
      <c r="C53" s="11" t="s">
        <v>37</v>
      </c>
      <c r="D53" s="11" t="n">
        <v>73</v>
      </c>
      <c r="E53" s="22" t="n">
        <v>46255</v>
      </c>
      <c r="F53" s="11" t="s">
        <v>201</v>
      </c>
      <c r="G53" s="11" t="s">
        <v>202</v>
      </c>
      <c r="H53" s="10" t="n">
        <v>875</v>
      </c>
      <c r="I53" s="11" t="s">
        <v>203</v>
      </c>
      <c r="J53" s="11" t="s">
        <v>101</v>
      </c>
      <c r="K53" s="23" t="n">
        <f aca="false">IF(E53="","",($B$4-E53)/365.25)</f>
        <v>0.125941136208077</v>
      </c>
      <c r="L53" s="11" t="str">
        <f aca="false">IF(K53="","no date",IF(K53&lt;1,"0-1 yrs",IF(K53&lt;2,"1-2 yrs",IF(K53&lt;3,"2-3 yrs",IF(K53&lt;5,"3-5 yrs","5+ yrs")))))</f>
        <v>0-1 yrs</v>
      </c>
      <c r="M53" s="11" t="s">
        <v>101</v>
      </c>
      <c r="N53" s="12" t="str">
        <f aca="false">IF(M53="Yes","Memo flag - not ours / unknown / hold: resolve",IF(OR(COUNTIF(Summary!$C$4:$R$4,H53)&gt;0,AND(A53="Philly",COUNTIF(Summary!$C$5:$R$5,H53)&gt;0),AND(A53="TUR",COUNTIF(Summary!$C$6:$R$6,H53)&gt;0),AND(A53="Leading Edge",COUNTIF(Summary!$C$7:$R$7,H53)&gt;0)),"Fee amount - presumed company revenue",IF(H53&lt;=Summary!$B$8,"Small amount - likely fee, review","Larger amount - likely includes agent commission")))</f>
        <v>Larger amount - likely includes agent commission</v>
      </c>
      <c r="O53" s="12" t="n">
        <f aca="false">IFERROR(INDEX('State Rules'!$C$5:$C$11,MATCH($B53,'State Rules'!$A$5:$A$11,0)),"")</f>
        <v>1</v>
      </c>
      <c r="P53" s="22" t="n">
        <f aca="false">IF(OR(O53="",E53=""),"",EDATE(E53,12*O53))</f>
        <v>46620</v>
      </c>
      <c r="Q53" s="22" t="n">
        <f aca="false">IF(E53="","",IFERROR(EDATE(E53,12*INDEX('State Rules'!$E$5:$E$11,MATCH($B53,'State Rules'!$A$5:$A$11,0))),""))</f>
        <v>47351</v>
      </c>
      <c r="R53" s="11" t="str">
        <f aca="false">IF(P53="","",IFERROR(IF(P53&lt;=INDEX('State Rules'!$I$5:$I$11,MATCH($B53,'State Rules'!$A$5:$A$11,0)),"Yes","No"),""))</f>
        <v>No</v>
      </c>
      <c r="S53" s="11" t="str">
        <f aca="false">IF(Q53="","",IFERROR(IF(Q53&lt;=INDEX('State Rules'!$I$5:$I$11,MATCH($B53,'State Rules'!$A$5:$A$11,0)),"Yes","No"),""))</f>
        <v>No</v>
      </c>
      <c r="T53" s="8"/>
      <c r="U53" s="8"/>
      <c r="V53" s="24"/>
      <c r="W53" s="24"/>
      <c r="X53" s="24"/>
      <c r="Y53" s="8"/>
      <c r="Z53" s="10" t="n">
        <f aca="false">IF(Q53="","",IF(Q53&lt;=$B$4,N(W53)+N(X53),0))</f>
        <v>0</v>
      </c>
      <c r="AA53" s="10" t="n">
        <f aca="false">IF(OR(LEFT(N53,6)="Larger",LEFT(N53,4)="Memo"),H53,0)</f>
        <v>875</v>
      </c>
      <c r="AB53" s="12" t="str">
        <f aca="false">IFERROR(INDEX('State Rules'!$M$5:$M$11,MATCH($B53,'State Rules'!$A$5:$A$11,0)),"")</f>
        <v>LONG</v>
      </c>
      <c r="AC53" s="22" t="n">
        <f aca="false">IF(AB53="SHORT",P53,IF(AB53="LONG",Q53,""))</f>
        <v>47351</v>
      </c>
      <c r="AD53" s="11" t="str">
        <f aca="false">IF(AB53="SHORT",R53,IF(AB53="LONG",S53,""))</f>
        <v>No</v>
      </c>
    </row>
    <row r="54" customFormat="false" ht="15" hidden="false" customHeight="false" outlineLevel="0" collapsed="false">
      <c r="A54" s="11" t="s">
        <v>37</v>
      </c>
      <c r="B54" s="12" t="str">
        <f aca="false">IF(U54&lt;&gt;"",U54,IFERROR(INDEX(Summary!$B$11:$B$18,MATCH($A54,Summary!$A$11:$A$18,0)),""))</f>
        <v>TX</v>
      </c>
      <c r="C54" s="11" t="s">
        <v>37</v>
      </c>
      <c r="D54" s="11" t="n">
        <v>78</v>
      </c>
      <c r="E54" s="22" t="n">
        <v>46262</v>
      </c>
      <c r="F54" s="11" t="s">
        <v>204</v>
      </c>
      <c r="G54" s="11" t="s">
        <v>205</v>
      </c>
      <c r="H54" s="10" t="n">
        <v>1400</v>
      </c>
      <c r="I54" s="11" t="s">
        <v>206</v>
      </c>
      <c r="J54" s="11" t="s">
        <v>101</v>
      </c>
      <c r="K54" s="23" t="n">
        <f aca="false">IF(E54="","",($B$4-E54)/365.25)</f>
        <v>0.106776180698152</v>
      </c>
      <c r="L54" s="11" t="str">
        <f aca="false">IF(K54="","no date",IF(K54&lt;1,"0-1 yrs",IF(K54&lt;2,"1-2 yrs",IF(K54&lt;3,"2-3 yrs",IF(K54&lt;5,"3-5 yrs","5+ yrs")))))</f>
        <v>0-1 yrs</v>
      </c>
      <c r="M54" s="11" t="s">
        <v>101</v>
      </c>
      <c r="N54" s="12" t="str">
        <f aca="false">IF(M54="Yes","Memo flag - not ours / unknown / hold: resolve",IF(OR(COUNTIF(Summary!$C$4:$R$4,H54)&gt;0,AND(A54="Philly",COUNTIF(Summary!$C$5:$R$5,H54)&gt;0),AND(A54="TUR",COUNTIF(Summary!$C$6:$R$6,H54)&gt;0),AND(A54="Leading Edge",COUNTIF(Summary!$C$7:$R$7,H54)&gt;0)),"Fee amount - presumed company revenue",IF(H54&lt;=Summary!$B$8,"Small amount - likely fee, review","Larger amount - likely includes agent commission")))</f>
        <v>Larger amount - likely includes agent commission</v>
      </c>
      <c r="O54" s="12" t="n">
        <f aca="false">IFERROR(INDEX('State Rules'!$C$5:$C$11,MATCH($B54,'State Rules'!$A$5:$A$11,0)),"")</f>
        <v>1</v>
      </c>
      <c r="P54" s="22" t="n">
        <f aca="false">IF(OR(O54="",E54=""),"",EDATE(E54,12*O54))</f>
        <v>46627</v>
      </c>
      <c r="Q54" s="22" t="n">
        <f aca="false">IF(E54="","",IFERROR(EDATE(E54,12*INDEX('State Rules'!$E$5:$E$11,MATCH($B54,'State Rules'!$A$5:$A$11,0))),""))</f>
        <v>47358</v>
      </c>
      <c r="R54" s="11" t="str">
        <f aca="false">IF(P54="","",IFERROR(IF(P54&lt;=INDEX('State Rules'!$I$5:$I$11,MATCH($B54,'State Rules'!$A$5:$A$11,0)),"Yes","No"),""))</f>
        <v>No</v>
      </c>
      <c r="S54" s="11" t="str">
        <f aca="false">IF(Q54="","",IFERROR(IF(Q54&lt;=INDEX('State Rules'!$I$5:$I$11,MATCH($B54,'State Rules'!$A$5:$A$11,0)),"Yes","No"),""))</f>
        <v>No</v>
      </c>
      <c r="T54" s="8"/>
      <c r="U54" s="8"/>
      <c r="V54" s="24"/>
      <c r="W54" s="24"/>
      <c r="X54" s="24"/>
      <c r="Y54" s="8"/>
      <c r="Z54" s="10" t="n">
        <f aca="false">IF(Q54="","",IF(Q54&lt;=$B$4,N(W54)+N(X54),0))</f>
        <v>0</v>
      </c>
      <c r="AA54" s="10" t="n">
        <f aca="false">IF(OR(LEFT(N54,6)="Larger",LEFT(N54,4)="Memo"),H54,0)</f>
        <v>1400</v>
      </c>
      <c r="AB54" s="12" t="str">
        <f aca="false">IFERROR(INDEX('State Rules'!$M$5:$M$11,MATCH($B54,'State Rules'!$A$5:$A$11,0)),"")</f>
        <v>LONG</v>
      </c>
      <c r="AC54" s="22" t="n">
        <f aca="false">IF(AB54="SHORT",P54,IF(AB54="LONG",Q54,""))</f>
        <v>47358</v>
      </c>
      <c r="AD54" s="11" t="str">
        <f aca="false">IF(AB54="SHORT",R54,IF(AB54="LONG",S54,""))</f>
        <v>No</v>
      </c>
    </row>
    <row r="55" customFormat="false" ht="15" hidden="false" customHeight="false" outlineLevel="0" collapsed="false">
      <c r="A55" s="11" t="s">
        <v>37</v>
      </c>
      <c r="B55" s="12" t="str">
        <f aca="false">IF(U55&lt;&gt;"",U55,IFERROR(INDEX(Summary!$B$11:$B$18,MATCH($A55,Summary!$A$11:$A$18,0)),""))</f>
        <v>TX</v>
      </c>
      <c r="C55" s="11" t="s">
        <v>37</v>
      </c>
      <c r="D55" s="11" t="n">
        <v>79</v>
      </c>
      <c r="E55" s="22" t="n">
        <v>46262</v>
      </c>
      <c r="F55" s="11" t="s">
        <v>207</v>
      </c>
      <c r="G55" s="11"/>
      <c r="H55" s="10" t="n">
        <v>2936.74</v>
      </c>
      <c r="I55" s="11" t="s">
        <v>208</v>
      </c>
      <c r="J55" s="11" t="s">
        <v>101</v>
      </c>
      <c r="K55" s="23" t="n">
        <f aca="false">IF(E55="","",($B$4-E55)/365.25)</f>
        <v>0.106776180698152</v>
      </c>
      <c r="L55" s="11" t="str">
        <f aca="false">IF(K55="","no date",IF(K55&lt;1,"0-1 yrs",IF(K55&lt;2,"1-2 yrs",IF(K55&lt;3,"2-3 yrs",IF(K55&lt;5,"3-5 yrs","5+ yrs")))))</f>
        <v>0-1 yrs</v>
      </c>
      <c r="M55" s="25" t="s">
        <v>112</v>
      </c>
      <c r="N55" s="12" t="str">
        <f aca="false">IF(M55="Yes","Memo flag - not ours / unknown / hold: resolve",IF(OR(COUNTIF(Summary!$C$4:$R$4,H55)&gt;0,AND(A55="Philly",COUNTIF(Summary!$C$5:$R$5,H55)&gt;0),AND(A55="TUR",COUNTIF(Summary!$C$6:$R$6,H55)&gt;0),AND(A55="Leading Edge",COUNTIF(Summary!$C$7:$R$7,H55)&gt;0)),"Fee amount - presumed company revenue",IF(H55&lt;=Summary!$B$8,"Small amount - likely fee, review","Larger amount - likely includes agent commission")))</f>
        <v>Memo flag - not ours / unknown / hold: resolve</v>
      </c>
      <c r="O55" s="12" t="n">
        <f aca="false">IFERROR(INDEX('State Rules'!$C$5:$C$11,MATCH($B55,'State Rules'!$A$5:$A$11,0)),"")</f>
        <v>1</v>
      </c>
      <c r="P55" s="22" t="n">
        <f aca="false">IF(OR(O55="",E55=""),"",EDATE(E55,12*O55))</f>
        <v>46627</v>
      </c>
      <c r="Q55" s="22" t="n">
        <f aca="false">IF(E55="","",IFERROR(EDATE(E55,12*INDEX('State Rules'!$E$5:$E$11,MATCH($B55,'State Rules'!$A$5:$A$11,0))),""))</f>
        <v>47358</v>
      </c>
      <c r="R55" s="11" t="str">
        <f aca="false">IF(P55="","",IFERROR(IF(P55&lt;=INDEX('State Rules'!$I$5:$I$11,MATCH($B55,'State Rules'!$A$5:$A$11,0)),"Yes","No"),""))</f>
        <v>No</v>
      </c>
      <c r="S55" s="11" t="str">
        <f aca="false">IF(Q55="","",IFERROR(IF(Q55&lt;=INDEX('State Rules'!$I$5:$I$11,MATCH($B55,'State Rules'!$A$5:$A$11,0)),"Yes","No"),""))</f>
        <v>No</v>
      </c>
      <c r="T55" s="8"/>
      <c r="U55" s="8"/>
      <c r="V55" s="24"/>
      <c r="W55" s="24"/>
      <c r="X55" s="24"/>
      <c r="Y55" s="8"/>
      <c r="Z55" s="10" t="n">
        <f aca="false">IF(Q55="","",IF(Q55&lt;=$B$4,N(W55)+N(X55),0))</f>
        <v>0</v>
      </c>
      <c r="AA55" s="10" t="n">
        <f aca="false">IF(OR(LEFT(N55,6)="Larger",LEFT(N55,4)="Memo"),H55,0)</f>
        <v>2936.74</v>
      </c>
      <c r="AB55" s="12" t="str">
        <f aca="false">IFERROR(INDEX('State Rules'!$M$5:$M$11,MATCH($B55,'State Rules'!$A$5:$A$11,0)),"")</f>
        <v>LONG</v>
      </c>
      <c r="AC55" s="22" t="n">
        <f aca="false">IF(AB55="SHORT",P55,IF(AB55="LONG",Q55,""))</f>
        <v>47358</v>
      </c>
      <c r="AD55" s="11" t="str">
        <f aca="false">IF(AB55="SHORT",R55,IF(AB55="LONG",S55,""))</f>
        <v>No</v>
      </c>
    </row>
    <row r="56" customFormat="false" ht="15" hidden="false" customHeight="false" outlineLevel="0" collapsed="false">
      <c r="A56" s="11" t="s">
        <v>37</v>
      </c>
      <c r="B56" s="12" t="str">
        <f aca="false">IF(U56&lt;&gt;"",U56,IFERROR(INDEX(Summary!$B$11:$B$18,MATCH($A56,Summary!$A$11:$A$18,0)),""))</f>
        <v>TX</v>
      </c>
      <c r="C56" s="11" t="s">
        <v>37</v>
      </c>
      <c r="D56" s="11" t="n">
        <v>80</v>
      </c>
      <c r="E56" s="22" t="n">
        <v>46265</v>
      </c>
      <c r="F56" s="11" t="s">
        <v>209</v>
      </c>
      <c r="G56" s="11" t="s">
        <v>210</v>
      </c>
      <c r="H56" s="10" t="n">
        <v>750</v>
      </c>
      <c r="I56" s="11" t="s">
        <v>211</v>
      </c>
      <c r="J56" s="11" t="s">
        <v>101</v>
      </c>
      <c r="K56" s="23" t="n">
        <f aca="false">IF(E56="","",($B$4-E56)/365.25)</f>
        <v>0.0985626283367557</v>
      </c>
      <c r="L56" s="11" t="str">
        <f aca="false">IF(K56="","no date",IF(K56&lt;1,"0-1 yrs",IF(K56&lt;2,"1-2 yrs",IF(K56&lt;3,"2-3 yrs",IF(K56&lt;5,"3-5 yrs","5+ yrs")))))</f>
        <v>0-1 yrs</v>
      </c>
      <c r="M56" s="11" t="s">
        <v>101</v>
      </c>
      <c r="N56" s="12" t="str">
        <f aca="false">IF(M56="Yes","Memo flag - not ours / unknown / hold: resolve",IF(OR(COUNTIF(Summary!$C$4:$R$4,H56)&gt;0,AND(A56="Philly",COUNTIF(Summary!$C$5:$R$5,H56)&gt;0),AND(A56="TUR",COUNTIF(Summary!$C$6:$R$6,H56)&gt;0),AND(A56="Leading Edge",COUNTIF(Summary!$C$7:$R$7,H56)&gt;0)),"Fee amount - presumed company revenue",IF(H56&lt;=Summary!$B$8,"Small amount - likely fee, review","Larger amount - likely includes agent commission")))</f>
        <v>Larger amount - likely includes agent commission</v>
      </c>
      <c r="O56" s="12" t="n">
        <f aca="false">IFERROR(INDEX('State Rules'!$C$5:$C$11,MATCH($B56,'State Rules'!$A$5:$A$11,0)),"")</f>
        <v>1</v>
      </c>
      <c r="P56" s="22" t="n">
        <f aca="false">IF(OR(O56="",E56=""),"",EDATE(E56,12*O56))</f>
        <v>46630</v>
      </c>
      <c r="Q56" s="22" t="n">
        <f aca="false">IF(E56="","",IFERROR(EDATE(E56,12*INDEX('State Rules'!$E$5:$E$11,MATCH($B56,'State Rules'!$A$5:$A$11,0))),""))</f>
        <v>47361</v>
      </c>
      <c r="R56" s="11" t="str">
        <f aca="false">IF(P56="","",IFERROR(IF(P56&lt;=INDEX('State Rules'!$I$5:$I$11,MATCH($B56,'State Rules'!$A$5:$A$11,0)),"Yes","No"),""))</f>
        <v>No</v>
      </c>
      <c r="S56" s="11" t="str">
        <f aca="false">IF(Q56="","",IFERROR(IF(Q56&lt;=INDEX('State Rules'!$I$5:$I$11,MATCH($B56,'State Rules'!$A$5:$A$11,0)),"Yes","No"),""))</f>
        <v>No</v>
      </c>
      <c r="T56" s="8"/>
      <c r="U56" s="8"/>
      <c r="V56" s="24"/>
      <c r="W56" s="24"/>
      <c r="X56" s="24"/>
      <c r="Y56" s="8"/>
      <c r="Z56" s="10" t="n">
        <f aca="false">IF(Q56="","",IF(Q56&lt;=$B$4,N(W56)+N(X56),0))</f>
        <v>0</v>
      </c>
      <c r="AA56" s="10" t="n">
        <f aca="false">IF(OR(LEFT(N56,6)="Larger",LEFT(N56,4)="Memo"),H56,0)</f>
        <v>750</v>
      </c>
      <c r="AB56" s="12" t="str">
        <f aca="false">IFERROR(INDEX('State Rules'!$M$5:$M$11,MATCH($B56,'State Rules'!$A$5:$A$11,0)),"")</f>
        <v>LONG</v>
      </c>
      <c r="AC56" s="22" t="n">
        <f aca="false">IF(AB56="SHORT",P56,IF(AB56="LONG",Q56,""))</f>
        <v>47361</v>
      </c>
      <c r="AD56" s="11" t="str">
        <f aca="false">IF(AB56="SHORT",R56,IF(AB56="LONG",S56,""))</f>
        <v>No</v>
      </c>
    </row>
    <row r="57" customFormat="false" ht="15" hidden="false" customHeight="false" outlineLevel="0" collapsed="false">
      <c r="A57" s="11" t="s">
        <v>40</v>
      </c>
      <c r="B57" s="12" t="str">
        <f aca="false">IF(U57&lt;&gt;"",U57,IFERROR(INDEX(Summary!$B$11:$B$18,MATCH($A57,Summary!$A$11:$A$18,0)),""))</f>
        <v>TX</v>
      </c>
      <c r="C57" s="11" t="s">
        <v>40</v>
      </c>
      <c r="D57" s="11" t="n">
        <v>21</v>
      </c>
      <c r="E57" s="22" t="n">
        <v>44592</v>
      </c>
      <c r="F57" s="11" t="s">
        <v>212</v>
      </c>
      <c r="G57" s="11"/>
      <c r="H57" s="10" t="n">
        <v>539.6</v>
      </c>
      <c r="I57" s="11"/>
      <c r="J57" s="11" t="s">
        <v>101</v>
      </c>
      <c r="K57" s="23" t="n">
        <f aca="false">IF(E57="","",($B$4-E57)/365.25)</f>
        <v>4.67898699520876</v>
      </c>
      <c r="L57" s="11" t="str">
        <f aca="false">IF(K57="","no date",IF(K57&lt;1,"0-1 yrs",IF(K57&lt;2,"1-2 yrs",IF(K57&lt;3,"2-3 yrs",IF(K57&lt;5,"3-5 yrs","5+ yrs")))))</f>
        <v>3-5 yrs</v>
      </c>
      <c r="M57" s="11" t="s">
        <v>101</v>
      </c>
      <c r="N57" s="12" t="str">
        <f aca="false">IF(M57="Yes","Memo flag - not ours / unknown / hold: resolve",IF(OR(COUNTIF(Summary!$C$4:$R$4,H57)&gt;0,AND(A57="Philly",COUNTIF(Summary!$C$5:$R$5,H57)&gt;0),AND(A57="TUR",COUNTIF(Summary!$C$6:$R$6,H57)&gt;0),AND(A57="Leading Edge",COUNTIF(Summary!$C$7:$R$7,H57)&gt;0)),"Fee amount - presumed company revenue",IF(H57&lt;=Summary!$B$8,"Small amount - likely fee, review","Larger amount - likely includes agent commission")))</f>
        <v>Larger amount - likely includes agent commission</v>
      </c>
      <c r="O57" s="12" t="n">
        <f aca="false">IFERROR(INDEX('State Rules'!$C$5:$C$11,MATCH($B57,'State Rules'!$A$5:$A$11,0)),"")</f>
        <v>1</v>
      </c>
      <c r="P57" s="22" t="n">
        <f aca="false">IF(OR(O57="",E57=""),"",EDATE(E57,12*O57))</f>
        <v>44957</v>
      </c>
      <c r="Q57" s="22" t="n">
        <f aca="false">IF(E57="","",IFERROR(EDATE(E57,12*INDEX('State Rules'!$E$5:$E$11,MATCH($B57,'State Rules'!$A$5:$A$11,0))),""))</f>
        <v>45688</v>
      </c>
      <c r="R57" s="11" t="str">
        <f aca="false">IF(P57="","",IFERROR(IF(P57&lt;=INDEX('State Rules'!$I$5:$I$11,MATCH($B57,'State Rules'!$A$5:$A$11,0)),"Yes","No"),""))</f>
        <v>Yes</v>
      </c>
      <c r="S57" s="11" t="str">
        <f aca="false">IF(Q57="","",IFERROR(IF(Q57&lt;=INDEX('State Rules'!$I$5:$I$11,MATCH($B57,'State Rules'!$A$5:$A$11,0)),"Yes","No"),""))</f>
        <v>Yes</v>
      </c>
      <c r="T57" s="8"/>
      <c r="U57" s="8"/>
      <c r="V57" s="24"/>
      <c r="W57" s="24"/>
      <c r="X57" s="24"/>
      <c r="Y57" s="8"/>
      <c r="Z57" s="10" t="n">
        <f aca="false">IF(Q57="","",IF(Q57&lt;=$B$4,N(W57)+N(X57),0))</f>
        <v>0</v>
      </c>
      <c r="AA57" s="10" t="n">
        <f aca="false">IF(OR(LEFT(N57,6)="Larger",LEFT(N57,4)="Memo"),H57,0)</f>
        <v>539.6</v>
      </c>
      <c r="AB57" s="12" t="str">
        <f aca="false">IFERROR(INDEX('State Rules'!$M$5:$M$11,MATCH($B57,'State Rules'!$A$5:$A$11,0)),"")</f>
        <v>LONG</v>
      </c>
      <c r="AC57" s="22" t="n">
        <f aca="false">IF(AB57="SHORT",P57,IF(AB57="LONG",Q57,""))</f>
        <v>45688</v>
      </c>
      <c r="AD57" s="11" t="str">
        <f aca="false">IF(AB57="SHORT",R57,IF(AB57="LONG",S57,""))</f>
        <v>Yes</v>
      </c>
    </row>
    <row r="58" customFormat="false" ht="15" hidden="false" customHeight="false" outlineLevel="0" collapsed="false">
      <c r="A58" s="11" t="s">
        <v>40</v>
      </c>
      <c r="B58" s="12" t="str">
        <f aca="false">IF(U58&lt;&gt;"",U58,IFERROR(INDEX(Summary!$B$11:$B$18,MATCH($A58,Summary!$A$11:$A$18,0)),""))</f>
        <v>TX</v>
      </c>
      <c r="C58" s="11" t="s">
        <v>40</v>
      </c>
      <c r="D58" s="11" t="n">
        <v>22</v>
      </c>
      <c r="E58" s="22" t="n">
        <v>44649</v>
      </c>
      <c r="F58" s="11" t="s">
        <v>213</v>
      </c>
      <c r="G58" s="11"/>
      <c r="H58" s="10" t="n">
        <v>300</v>
      </c>
      <c r="I58" s="11"/>
      <c r="J58" s="11" t="s">
        <v>101</v>
      </c>
      <c r="K58" s="23" t="n">
        <f aca="false">IF(E58="","",($B$4-E58)/365.25)</f>
        <v>4.52292950034223</v>
      </c>
      <c r="L58" s="11" t="str">
        <f aca="false">IF(K58="","no date",IF(K58&lt;1,"0-1 yrs",IF(K58&lt;2,"1-2 yrs",IF(K58&lt;3,"2-3 yrs",IF(K58&lt;5,"3-5 yrs","5+ yrs")))))</f>
        <v>3-5 yrs</v>
      </c>
      <c r="M58" s="11" t="s">
        <v>101</v>
      </c>
      <c r="N58" s="12" t="str">
        <f aca="false">IF(M58="Yes","Memo flag - not ours / unknown / hold: resolve",IF(OR(COUNTIF(Summary!$C$4:$R$4,H58)&gt;0,AND(A58="Philly",COUNTIF(Summary!$C$5:$R$5,H58)&gt;0),AND(A58="TUR",COUNTIF(Summary!$C$6:$R$6,H58)&gt;0),AND(A58="Leading Edge",COUNTIF(Summary!$C$7:$R$7,H58)&gt;0)),"Fee amount - presumed company revenue",IF(H58&lt;=Summary!$B$8,"Small amount - likely fee, review","Larger amount - likely includes agent commission")))</f>
        <v>Larger amount - likely includes agent commission</v>
      </c>
      <c r="O58" s="12" t="n">
        <f aca="false">IFERROR(INDEX('State Rules'!$C$5:$C$11,MATCH($B58,'State Rules'!$A$5:$A$11,0)),"")</f>
        <v>1</v>
      </c>
      <c r="P58" s="22" t="n">
        <f aca="false">IF(OR(O58="",E58=""),"",EDATE(E58,12*O58))</f>
        <v>45014</v>
      </c>
      <c r="Q58" s="22" t="n">
        <f aca="false">IF(E58="","",IFERROR(EDATE(E58,12*INDEX('State Rules'!$E$5:$E$11,MATCH($B58,'State Rules'!$A$5:$A$11,0))),""))</f>
        <v>45745</v>
      </c>
      <c r="R58" s="11" t="str">
        <f aca="false">IF(P58="","",IFERROR(IF(P58&lt;=INDEX('State Rules'!$I$5:$I$11,MATCH($B58,'State Rules'!$A$5:$A$11,0)),"Yes","No"),""))</f>
        <v>Yes</v>
      </c>
      <c r="S58" s="11" t="str">
        <f aca="false">IF(Q58="","",IFERROR(IF(Q58&lt;=INDEX('State Rules'!$I$5:$I$11,MATCH($B58,'State Rules'!$A$5:$A$11,0)),"Yes","No"),""))</f>
        <v>Yes</v>
      </c>
      <c r="T58" s="8"/>
      <c r="U58" s="8"/>
      <c r="V58" s="24"/>
      <c r="W58" s="24"/>
      <c r="X58" s="24"/>
      <c r="Y58" s="8"/>
      <c r="Z58" s="10" t="n">
        <f aca="false">IF(Q58="","",IF(Q58&lt;=$B$4,N(W58)+N(X58),0))</f>
        <v>0</v>
      </c>
      <c r="AA58" s="10" t="n">
        <f aca="false">IF(OR(LEFT(N58,6)="Larger",LEFT(N58,4)="Memo"),H58,0)</f>
        <v>300</v>
      </c>
      <c r="AB58" s="12" t="str">
        <f aca="false">IFERROR(INDEX('State Rules'!$M$5:$M$11,MATCH($B58,'State Rules'!$A$5:$A$11,0)),"")</f>
        <v>LONG</v>
      </c>
      <c r="AC58" s="22" t="n">
        <f aca="false">IF(AB58="SHORT",P58,IF(AB58="LONG",Q58,""))</f>
        <v>45745</v>
      </c>
      <c r="AD58" s="11" t="str">
        <f aca="false">IF(AB58="SHORT",R58,IF(AB58="LONG",S58,""))</f>
        <v>Yes</v>
      </c>
    </row>
    <row r="59" customFormat="false" ht="15" hidden="false" customHeight="false" outlineLevel="0" collapsed="false">
      <c r="A59" s="11" t="s">
        <v>40</v>
      </c>
      <c r="B59" s="12" t="str">
        <f aca="false">IF(U59&lt;&gt;"",U59,IFERROR(INDEX(Summary!$B$11:$B$18,MATCH($A59,Summary!$A$11:$A$18,0)),""))</f>
        <v>TX</v>
      </c>
      <c r="C59" s="11" t="s">
        <v>40</v>
      </c>
      <c r="D59" s="11" t="n">
        <v>23</v>
      </c>
      <c r="E59" s="22" t="n">
        <v>44762</v>
      </c>
      <c r="F59" s="11" t="s">
        <v>214</v>
      </c>
      <c r="G59" s="11" t="s">
        <v>215</v>
      </c>
      <c r="H59" s="10" t="n">
        <v>1260</v>
      </c>
      <c r="I59" s="11" t="s">
        <v>216</v>
      </c>
      <c r="J59" s="11" t="s">
        <v>101</v>
      </c>
      <c r="K59" s="23" t="n">
        <f aca="false">IF(E59="","",($B$4-E59)/365.25)</f>
        <v>4.2135523613963</v>
      </c>
      <c r="L59" s="11" t="str">
        <f aca="false">IF(K59="","no date",IF(K59&lt;1,"0-1 yrs",IF(K59&lt;2,"1-2 yrs",IF(K59&lt;3,"2-3 yrs",IF(K59&lt;5,"3-5 yrs","5+ yrs")))))</f>
        <v>3-5 yrs</v>
      </c>
      <c r="M59" s="11" t="s">
        <v>101</v>
      </c>
      <c r="N59" s="12" t="str">
        <f aca="false">IF(M59="Yes","Memo flag - not ours / unknown / hold: resolve",IF(OR(COUNTIF(Summary!$C$4:$R$4,H59)&gt;0,AND(A59="Philly",COUNTIF(Summary!$C$5:$R$5,H59)&gt;0),AND(A59="TUR",COUNTIF(Summary!$C$6:$R$6,H59)&gt;0),AND(A59="Leading Edge",COUNTIF(Summary!$C$7:$R$7,H59)&gt;0)),"Fee amount - presumed company revenue",IF(H59&lt;=Summary!$B$8,"Small amount - likely fee, review","Larger amount - likely includes agent commission")))</f>
        <v>Larger amount - likely includes agent commission</v>
      </c>
      <c r="O59" s="12" t="n">
        <f aca="false">IFERROR(INDEX('State Rules'!$C$5:$C$11,MATCH($B59,'State Rules'!$A$5:$A$11,0)),"")</f>
        <v>1</v>
      </c>
      <c r="P59" s="22" t="n">
        <f aca="false">IF(OR(O59="",E59=""),"",EDATE(E59,12*O59))</f>
        <v>45127</v>
      </c>
      <c r="Q59" s="22" t="n">
        <f aca="false">IF(E59="","",IFERROR(EDATE(E59,12*INDEX('State Rules'!$E$5:$E$11,MATCH($B59,'State Rules'!$A$5:$A$11,0))),""))</f>
        <v>45858</v>
      </c>
      <c r="R59" s="11" t="str">
        <f aca="false">IF(P59="","",IFERROR(IF(P59&lt;=INDEX('State Rules'!$I$5:$I$11,MATCH($B59,'State Rules'!$A$5:$A$11,0)),"Yes","No"),""))</f>
        <v>Yes</v>
      </c>
      <c r="S59" s="11" t="str">
        <f aca="false">IF(Q59="","",IFERROR(IF(Q59&lt;=INDEX('State Rules'!$I$5:$I$11,MATCH($B59,'State Rules'!$A$5:$A$11,0)),"Yes","No"),""))</f>
        <v>Yes</v>
      </c>
      <c r="T59" s="8"/>
      <c r="U59" s="8"/>
      <c r="V59" s="24"/>
      <c r="W59" s="24"/>
      <c r="X59" s="24"/>
      <c r="Y59" s="8"/>
      <c r="Z59" s="10" t="n">
        <f aca="false">IF(Q59="","",IF(Q59&lt;=$B$4,N(W59)+N(X59),0))</f>
        <v>0</v>
      </c>
      <c r="AA59" s="10" t="n">
        <f aca="false">IF(OR(LEFT(N59,6)="Larger",LEFT(N59,4)="Memo"),H59,0)</f>
        <v>1260</v>
      </c>
      <c r="AB59" s="12" t="str">
        <f aca="false">IFERROR(INDEX('State Rules'!$M$5:$M$11,MATCH($B59,'State Rules'!$A$5:$A$11,0)),"")</f>
        <v>LONG</v>
      </c>
      <c r="AC59" s="22" t="n">
        <f aca="false">IF(AB59="SHORT",P59,IF(AB59="LONG",Q59,""))</f>
        <v>45858</v>
      </c>
      <c r="AD59" s="11" t="str">
        <f aca="false">IF(AB59="SHORT",R59,IF(AB59="LONG",S59,""))</f>
        <v>Yes</v>
      </c>
    </row>
    <row r="60" customFormat="false" ht="15" hidden="false" customHeight="false" outlineLevel="0" collapsed="false">
      <c r="A60" s="11" t="s">
        <v>40</v>
      </c>
      <c r="B60" s="12" t="str">
        <f aca="false">IF(U60&lt;&gt;"",U60,IFERROR(INDEX(Summary!$B$11:$B$18,MATCH($A60,Summary!$A$11:$A$18,0)),""))</f>
        <v>TX</v>
      </c>
      <c r="C60" s="11" t="s">
        <v>40</v>
      </c>
      <c r="D60" s="11" t="n">
        <v>24</v>
      </c>
      <c r="E60" s="22" t="n">
        <v>44775</v>
      </c>
      <c r="F60" s="11" t="s">
        <v>217</v>
      </c>
      <c r="G60" s="11" t="s">
        <v>218</v>
      </c>
      <c r="H60" s="10" t="n">
        <v>1000</v>
      </c>
      <c r="I60" s="11" t="s">
        <v>219</v>
      </c>
      <c r="J60" s="11" t="s">
        <v>101</v>
      </c>
      <c r="K60" s="23" t="n">
        <f aca="false">IF(E60="","",($B$4-E60)/365.25)</f>
        <v>4.17796030116359</v>
      </c>
      <c r="L60" s="11" t="str">
        <f aca="false">IF(K60="","no date",IF(K60&lt;1,"0-1 yrs",IF(K60&lt;2,"1-2 yrs",IF(K60&lt;3,"2-3 yrs",IF(K60&lt;5,"3-5 yrs","5+ yrs")))))</f>
        <v>3-5 yrs</v>
      </c>
      <c r="M60" s="11" t="s">
        <v>101</v>
      </c>
      <c r="N60" s="12" t="str">
        <f aca="false">IF(M60="Yes","Memo flag - not ours / unknown / hold: resolve",IF(OR(COUNTIF(Summary!$C$4:$R$4,H60)&gt;0,AND(A60="Philly",COUNTIF(Summary!$C$5:$R$5,H60)&gt;0),AND(A60="TUR",COUNTIF(Summary!$C$6:$R$6,H60)&gt;0),AND(A60="Leading Edge",COUNTIF(Summary!$C$7:$R$7,H60)&gt;0)),"Fee amount - presumed company revenue",IF(H60&lt;=Summary!$B$8,"Small amount - likely fee, review","Larger amount - likely includes agent commission")))</f>
        <v>Larger amount - likely includes agent commission</v>
      </c>
      <c r="O60" s="12" t="n">
        <f aca="false">IFERROR(INDEX('State Rules'!$C$5:$C$11,MATCH($B60,'State Rules'!$A$5:$A$11,0)),"")</f>
        <v>1</v>
      </c>
      <c r="P60" s="22" t="n">
        <f aca="false">IF(OR(O60="",E60=""),"",EDATE(E60,12*O60))</f>
        <v>45140</v>
      </c>
      <c r="Q60" s="22" t="n">
        <f aca="false">IF(E60="","",IFERROR(EDATE(E60,12*INDEX('State Rules'!$E$5:$E$11,MATCH($B60,'State Rules'!$A$5:$A$11,0))),""))</f>
        <v>45871</v>
      </c>
      <c r="R60" s="11" t="str">
        <f aca="false">IF(P60="","",IFERROR(IF(P60&lt;=INDEX('State Rules'!$I$5:$I$11,MATCH($B60,'State Rules'!$A$5:$A$11,0)),"Yes","No"),""))</f>
        <v>Yes</v>
      </c>
      <c r="S60" s="11" t="str">
        <f aca="false">IF(Q60="","",IFERROR(IF(Q60&lt;=INDEX('State Rules'!$I$5:$I$11,MATCH($B60,'State Rules'!$A$5:$A$11,0)),"Yes","No"),""))</f>
        <v>Yes</v>
      </c>
      <c r="T60" s="8"/>
      <c r="U60" s="8"/>
      <c r="V60" s="24"/>
      <c r="W60" s="24"/>
      <c r="X60" s="24"/>
      <c r="Y60" s="8"/>
      <c r="Z60" s="10" t="n">
        <f aca="false">IF(Q60="","",IF(Q60&lt;=$B$4,N(W60)+N(X60),0))</f>
        <v>0</v>
      </c>
      <c r="AA60" s="10" t="n">
        <f aca="false">IF(OR(LEFT(N60,6)="Larger",LEFT(N60,4)="Memo"),H60,0)</f>
        <v>1000</v>
      </c>
      <c r="AB60" s="12" t="str">
        <f aca="false">IFERROR(INDEX('State Rules'!$M$5:$M$11,MATCH($B60,'State Rules'!$A$5:$A$11,0)),"")</f>
        <v>LONG</v>
      </c>
      <c r="AC60" s="22" t="n">
        <f aca="false">IF(AB60="SHORT",P60,IF(AB60="LONG",Q60,""))</f>
        <v>45871</v>
      </c>
      <c r="AD60" s="11" t="str">
        <f aca="false">IF(AB60="SHORT",R60,IF(AB60="LONG",S60,""))</f>
        <v>Yes</v>
      </c>
    </row>
    <row r="61" customFormat="false" ht="15" hidden="false" customHeight="false" outlineLevel="0" collapsed="false">
      <c r="A61" s="11" t="s">
        <v>40</v>
      </c>
      <c r="B61" s="12" t="str">
        <f aca="false">IF(U61&lt;&gt;"",U61,IFERROR(INDEX(Summary!$B$11:$B$18,MATCH($A61,Summary!$A$11:$A$18,0)),""))</f>
        <v>TX</v>
      </c>
      <c r="C61" s="11" t="s">
        <v>40</v>
      </c>
      <c r="D61" s="11" t="n">
        <v>25</v>
      </c>
      <c r="E61" s="22" t="n">
        <v>45008</v>
      </c>
      <c r="F61" s="11" t="s">
        <v>220</v>
      </c>
      <c r="G61" s="11" t="s">
        <v>221</v>
      </c>
      <c r="H61" s="10" t="n">
        <v>340</v>
      </c>
      <c r="I61" s="11" t="s">
        <v>222</v>
      </c>
      <c r="J61" s="11" t="s">
        <v>101</v>
      </c>
      <c r="K61" s="23" t="n">
        <f aca="false">IF(E61="","",($B$4-E61)/365.25)</f>
        <v>3.54004106776181</v>
      </c>
      <c r="L61" s="11" t="str">
        <f aca="false">IF(K61="","no date",IF(K61&lt;1,"0-1 yrs",IF(K61&lt;2,"1-2 yrs",IF(K61&lt;3,"2-3 yrs",IF(K61&lt;5,"3-5 yrs","5+ yrs")))))</f>
        <v>3-5 yrs</v>
      </c>
      <c r="M61" s="11" t="s">
        <v>101</v>
      </c>
      <c r="N61" s="12" t="str">
        <f aca="false">IF(M61="Yes","Memo flag - not ours / unknown / hold: resolve",IF(OR(COUNTIF(Summary!$C$4:$R$4,H61)&gt;0,AND(A61="Philly",COUNTIF(Summary!$C$5:$R$5,H61)&gt;0),AND(A61="TUR",COUNTIF(Summary!$C$6:$R$6,H61)&gt;0),AND(A61="Leading Edge",COUNTIF(Summary!$C$7:$R$7,H61)&gt;0)),"Fee amount - presumed company revenue",IF(H61&lt;=Summary!$B$8,"Small amount - likely fee, review","Larger amount - likely includes agent commission")))</f>
        <v>Larger amount - likely includes agent commission</v>
      </c>
      <c r="O61" s="12" t="n">
        <f aca="false">IFERROR(INDEX('State Rules'!$C$5:$C$11,MATCH($B61,'State Rules'!$A$5:$A$11,0)),"")</f>
        <v>1</v>
      </c>
      <c r="P61" s="22" t="n">
        <f aca="false">IF(OR(O61="",E61=""),"",EDATE(E61,12*O61))</f>
        <v>45374</v>
      </c>
      <c r="Q61" s="22" t="n">
        <f aca="false">IF(E61="","",IFERROR(EDATE(E61,12*INDEX('State Rules'!$E$5:$E$11,MATCH($B61,'State Rules'!$A$5:$A$11,0))),""))</f>
        <v>46104</v>
      </c>
      <c r="R61" s="11" t="str">
        <f aca="false">IF(P61="","",IFERROR(IF(P61&lt;=INDEX('State Rules'!$I$5:$I$11,MATCH($B61,'State Rules'!$A$5:$A$11,0)),"Yes","No"),""))</f>
        <v>Yes</v>
      </c>
      <c r="S61" s="11" t="str">
        <f aca="false">IF(Q61="","",IFERROR(IF(Q61&lt;=INDEX('State Rules'!$I$5:$I$11,MATCH($B61,'State Rules'!$A$5:$A$11,0)),"Yes","No"),""))</f>
        <v>Yes</v>
      </c>
      <c r="T61" s="8"/>
      <c r="U61" s="8"/>
      <c r="V61" s="24"/>
      <c r="W61" s="24"/>
      <c r="X61" s="24"/>
      <c r="Y61" s="8"/>
      <c r="Z61" s="10" t="n">
        <f aca="false">IF(Q61="","",IF(Q61&lt;=$B$4,N(W61)+N(X61),0))</f>
        <v>0</v>
      </c>
      <c r="AA61" s="10" t="n">
        <f aca="false">IF(OR(LEFT(N61,6)="Larger",LEFT(N61,4)="Memo"),H61,0)</f>
        <v>340</v>
      </c>
      <c r="AB61" s="12" t="str">
        <f aca="false">IFERROR(INDEX('State Rules'!$M$5:$M$11,MATCH($B61,'State Rules'!$A$5:$A$11,0)),"")</f>
        <v>LONG</v>
      </c>
      <c r="AC61" s="22" t="n">
        <f aca="false">IF(AB61="SHORT",P61,IF(AB61="LONG",Q61,""))</f>
        <v>46104</v>
      </c>
      <c r="AD61" s="11" t="str">
        <f aca="false">IF(AB61="SHORT",R61,IF(AB61="LONG",S61,""))</f>
        <v>Yes</v>
      </c>
    </row>
    <row r="62" customFormat="false" ht="15" hidden="false" customHeight="false" outlineLevel="0" collapsed="false">
      <c r="A62" s="11" t="s">
        <v>40</v>
      </c>
      <c r="B62" s="12" t="str">
        <f aca="false">IF(U62&lt;&gt;"",U62,IFERROR(INDEX(Summary!$B$11:$B$18,MATCH($A62,Summary!$A$11:$A$18,0)),""))</f>
        <v>TX</v>
      </c>
      <c r="C62" s="11" t="s">
        <v>40</v>
      </c>
      <c r="D62" s="11" t="n">
        <v>26</v>
      </c>
      <c r="E62" s="22" t="n">
        <v>45008</v>
      </c>
      <c r="F62" s="11" t="s">
        <v>223</v>
      </c>
      <c r="G62" s="11" t="s">
        <v>221</v>
      </c>
      <c r="H62" s="10" t="n">
        <v>340</v>
      </c>
      <c r="I62" s="11" t="s">
        <v>222</v>
      </c>
      <c r="J62" s="11" t="s">
        <v>101</v>
      </c>
      <c r="K62" s="23" t="n">
        <f aca="false">IF(E62="","",($B$4-E62)/365.25)</f>
        <v>3.54004106776181</v>
      </c>
      <c r="L62" s="11" t="str">
        <f aca="false">IF(K62="","no date",IF(K62&lt;1,"0-1 yrs",IF(K62&lt;2,"1-2 yrs",IF(K62&lt;3,"2-3 yrs",IF(K62&lt;5,"3-5 yrs","5+ yrs")))))</f>
        <v>3-5 yrs</v>
      </c>
      <c r="M62" s="11" t="s">
        <v>101</v>
      </c>
      <c r="N62" s="12" t="str">
        <f aca="false">IF(M62="Yes","Memo flag - not ours / unknown / hold: resolve",IF(OR(COUNTIF(Summary!$C$4:$R$4,H62)&gt;0,AND(A62="Philly",COUNTIF(Summary!$C$5:$R$5,H62)&gt;0),AND(A62="TUR",COUNTIF(Summary!$C$6:$R$6,H62)&gt;0),AND(A62="Leading Edge",COUNTIF(Summary!$C$7:$R$7,H62)&gt;0)),"Fee amount - presumed company revenue",IF(H62&lt;=Summary!$B$8,"Small amount - likely fee, review","Larger amount - likely includes agent commission")))</f>
        <v>Larger amount - likely includes agent commission</v>
      </c>
      <c r="O62" s="12" t="n">
        <f aca="false">IFERROR(INDEX('State Rules'!$C$5:$C$11,MATCH($B62,'State Rules'!$A$5:$A$11,0)),"")</f>
        <v>1</v>
      </c>
      <c r="P62" s="22" t="n">
        <f aca="false">IF(OR(O62="",E62=""),"",EDATE(E62,12*O62))</f>
        <v>45374</v>
      </c>
      <c r="Q62" s="22" t="n">
        <f aca="false">IF(E62="","",IFERROR(EDATE(E62,12*INDEX('State Rules'!$E$5:$E$11,MATCH($B62,'State Rules'!$A$5:$A$11,0))),""))</f>
        <v>46104</v>
      </c>
      <c r="R62" s="11" t="str">
        <f aca="false">IF(P62="","",IFERROR(IF(P62&lt;=INDEX('State Rules'!$I$5:$I$11,MATCH($B62,'State Rules'!$A$5:$A$11,0)),"Yes","No"),""))</f>
        <v>Yes</v>
      </c>
      <c r="S62" s="11" t="str">
        <f aca="false">IF(Q62="","",IFERROR(IF(Q62&lt;=INDEX('State Rules'!$I$5:$I$11,MATCH($B62,'State Rules'!$A$5:$A$11,0)),"Yes","No"),""))</f>
        <v>Yes</v>
      </c>
      <c r="T62" s="8"/>
      <c r="U62" s="8"/>
      <c r="V62" s="24"/>
      <c r="W62" s="24"/>
      <c r="X62" s="24"/>
      <c r="Y62" s="8"/>
      <c r="Z62" s="10" t="n">
        <f aca="false">IF(Q62="","",IF(Q62&lt;=$B$4,N(W62)+N(X62),0))</f>
        <v>0</v>
      </c>
      <c r="AA62" s="10" t="n">
        <f aca="false">IF(OR(LEFT(N62,6)="Larger",LEFT(N62,4)="Memo"),H62,0)</f>
        <v>340</v>
      </c>
      <c r="AB62" s="12" t="str">
        <f aca="false">IFERROR(INDEX('State Rules'!$M$5:$M$11,MATCH($B62,'State Rules'!$A$5:$A$11,0)),"")</f>
        <v>LONG</v>
      </c>
      <c r="AC62" s="22" t="n">
        <f aca="false">IF(AB62="SHORT",P62,IF(AB62="LONG",Q62,""))</f>
        <v>46104</v>
      </c>
      <c r="AD62" s="11" t="str">
        <f aca="false">IF(AB62="SHORT",R62,IF(AB62="LONG",S62,""))</f>
        <v>Yes</v>
      </c>
    </row>
    <row r="63" customFormat="false" ht="15" hidden="false" customHeight="false" outlineLevel="0" collapsed="false">
      <c r="A63" s="11" t="s">
        <v>40</v>
      </c>
      <c r="B63" s="12" t="str">
        <f aca="false">IF(U63&lt;&gt;"",U63,IFERROR(INDEX(Summary!$B$11:$B$18,MATCH($A63,Summary!$A$11:$A$18,0)),""))</f>
        <v>TX</v>
      </c>
      <c r="C63" s="11" t="s">
        <v>40</v>
      </c>
      <c r="D63" s="11" t="n">
        <v>27</v>
      </c>
      <c r="E63" s="22" t="n">
        <v>45125</v>
      </c>
      <c r="F63" s="11" t="s">
        <v>224</v>
      </c>
      <c r="G63" s="11" t="s">
        <v>225</v>
      </c>
      <c r="H63" s="10" t="n">
        <v>1500</v>
      </c>
      <c r="I63" s="11" t="s">
        <v>226</v>
      </c>
      <c r="J63" s="11" t="s">
        <v>101</v>
      </c>
      <c r="K63" s="23" t="n">
        <f aca="false">IF(E63="","",($B$4-E63)/365.25)</f>
        <v>3.21971252566735</v>
      </c>
      <c r="L63" s="11" t="str">
        <f aca="false">IF(K63="","no date",IF(K63&lt;1,"0-1 yrs",IF(K63&lt;2,"1-2 yrs",IF(K63&lt;3,"2-3 yrs",IF(K63&lt;5,"3-5 yrs","5+ yrs")))))</f>
        <v>3-5 yrs</v>
      </c>
      <c r="M63" s="25" t="s">
        <v>112</v>
      </c>
      <c r="N63" s="12" t="str">
        <f aca="false">IF(M63="Yes","Memo flag - not ours / unknown / hold: resolve",IF(OR(COUNTIF(Summary!$C$4:$R$4,H63)&gt;0,AND(A63="Philly",COUNTIF(Summary!$C$5:$R$5,H63)&gt;0),AND(A63="TUR",COUNTIF(Summary!$C$6:$R$6,H63)&gt;0),AND(A63="Leading Edge",COUNTIF(Summary!$C$7:$R$7,H63)&gt;0)),"Fee amount - presumed company revenue",IF(H63&lt;=Summary!$B$8,"Small amount - likely fee, review","Larger amount - likely includes agent commission")))</f>
        <v>Memo flag - not ours / unknown / hold: resolve</v>
      </c>
      <c r="O63" s="12" t="n">
        <f aca="false">IFERROR(INDEX('State Rules'!$C$5:$C$11,MATCH($B63,'State Rules'!$A$5:$A$11,0)),"")</f>
        <v>1</v>
      </c>
      <c r="P63" s="22" t="n">
        <f aca="false">IF(OR(O63="",E63=""),"",EDATE(E63,12*O63))</f>
        <v>45491</v>
      </c>
      <c r="Q63" s="22" t="n">
        <f aca="false">IF(E63="","",IFERROR(EDATE(E63,12*INDEX('State Rules'!$E$5:$E$11,MATCH($B63,'State Rules'!$A$5:$A$11,0))),""))</f>
        <v>46221</v>
      </c>
      <c r="R63" s="11" t="str">
        <f aca="false">IF(P63="","",IFERROR(IF(P63&lt;=INDEX('State Rules'!$I$5:$I$11,MATCH($B63,'State Rules'!$A$5:$A$11,0)),"Yes","No"),""))</f>
        <v>Yes</v>
      </c>
      <c r="S63" s="11" t="str">
        <f aca="false">IF(Q63="","",IFERROR(IF(Q63&lt;=INDEX('State Rules'!$I$5:$I$11,MATCH($B63,'State Rules'!$A$5:$A$11,0)),"Yes","No"),""))</f>
        <v>Yes</v>
      </c>
      <c r="T63" s="8"/>
      <c r="U63" s="8"/>
      <c r="V63" s="24"/>
      <c r="W63" s="24"/>
      <c r="X63" s="24"/>
      <c r="Y63" s="8"/>
      <c r="Z63" s="10" t="n">
        <f aca="false">IF(Q63="","",IF(Q63&lt;=$B$4,N(W63)+N(X63),0))</f>
        <v>0</v>
      </c>
      <c r="AA63" s="10" t="n">
        <f aca="false">IF(OR(LEFT(N63,6)="Larger",LEFT(N63,4)="Memo"),H63,0)</f>
        <v>1500</v>
      </c>
      <c r="AB63" s="12" t="str">
        <f aca="false">IFERROR(INDEX('State Rules'!$M$5:$M$11,MATCH($B63,'State Rules'!$A$5:$A$11,0)),"")</f>
        <v>LONG</v>
      </c>
      <c r="AC63" s="22" t="n">
        <f aca="false">IF(AB63="SHORT",P63,IF(AB63="LONG",Q63,""))</f>
        <v>46221</v>
      </c>
      <c r="AD63" s="11" t="str">
        <f aca="false">IF(AB63="SHORT",R63,IF(AB63="LONG",S63,""))</f>
        <v>Yes</v>
      </c>
    </row>
    <row r="64" customFormat="false" ht="15" hidden="false" customHeight="false" outlineLevel="0" collapsed="false">
      <c r="A64" s="11" t="s">
        <v>40</v>
      </c>
      <c r="B64" s="12" t="str">
        <f aca="false">IF(U64&lt;&gt;"",U64,IFERROR(INDEX(Summary!$B$11:$B$18,MATCH($A64,Summary!$A$11:$A$18,0)),""))</f>
        <v>TX</v>
      </c>
      <c r="C64" s="11" t="s">
        <v>40</v>
      </c>
      <c r="D64" s="11" t="n">
        <v>28</v>
      </c>
      <c r="E64" s="22" t="n">
        <v>45125</v>
      </c>
      <c r="F64" s="11" t="s">
        <v>227</v>
      </c>
      <c r="G64" s="11" t="s">
        <v>228</v>
      </c>
      <c r="H64" s="10" t="n">
        <v>357</v>
      </c>
      <c r="I64" s="11"/>
      <c r="J64" s="11" t="s">
        <v>101</v>
      </c>
      <c r="K64" s="23" t="n">
        <f aca="false">IF(E64="","",($B$4-E64)/365.25)</f>
        <v>3.21971252566735</v>
      </c>
      <c r="L64" s="11" t="str">
        <f aca="false">IF(K64="","no date",IF(K64&lt;1,"0-1 yrs",IF(K64&lt;2,"1-2 yrs",IF(K64&lt;3,"2-3 yrs",IF(K64&lt;5,"3-5 yrs","5+ yrs")))))</f>
        <v>3-5 yrs</v>
      </c>
      <c r="M64" s="11" t="s">
        <v>101</v>
      </c>
      <c r="N64" s="12" t="str">
        <f aca="false">IF(M64="Yes","Memo flag - not ours / unknown / hold: resolve",IF(OR(COUNTIF(Summary!$C$4:$R$4,H64)&gt;0,AND(A64="Philly",COUNTIF(Summary!$C$5:$R$5,H64)&gt;0),AND(A64="TUR",COUNTIF(Summary!$C$6:$R$6,H64)&gt;0),AND(A64="Leading Edge",COUNTIF(Summary!$C$7:$R$7,H64)&gt;0)),"Fee amount - presumed company revenue",IF(H64&lt;=Summary!$B$8,"Small amount - likely fee, review","Larger amount - likely includes agent commission")))</f>
        <v>Larger amount - likely includes agent commission</v>
      </c>
      <c r="O64" s="12" t="n">
        <f aca="false">IFERROR(INDEX('State Rules'!$C$5:$C$11,MATCH($B64,'State Rules'!$A$5:$A$11,0)),"")</f>
        <v>1</v>
      </c>
      <c r="P64" s="22" t="n">
        <f aca="false">IF(OR(O64="",E64=""),"",EDATE(E64,12*O64))</f>
        <v>45491</v>
      </c>
      <c r="Q64" s="22" t="n">
        <f aca="false">IF(E64="","",IFERROR(EDATE(E64,12*INDEX('State Rules'!$E$5:$E$11,MATCH($B64,'State Rules'!$A$5:$A$11,0))),""))</f>
        <v>46221</v>
      </c>
      <c r="R64" s="11" t="str">
        <f aca="false">IF(P64="","",IFERROR(IF(P64&lt;=INDEX('State Rules'!$I$5:$I$11,MATCH($B64,'State Rules'!$A$5:$A$11,0)),"Yes","No"),""))</f>
        <v>Yes</v>
      </c>
      <c r="S64" s="11" t="str">
        <f aca="false">IF(Q64="","",IFERROR(IF(Q64&lt;=INDEX('State Rules'!$I$5:$I$11,MATCH($B64,'State Rules'!$A$5:$A$11,0)),"Yes","No"),""))</f>
        <v>Yes</v>
      </c>
      <c r="T64" s="8"/>
      <c r="U64" s="8"/>
      <c r="V64" s="24"/>
      <c r="W64" s="24"/>
      <c r="X64" s="24"/>
      <c r="Y64" s="8"/>
      <c r="Z64" s="10" t="n">
        <f aca="false">IF(Q64="","",IF(Q64&lt;=$B$4,N(W64)+N(X64),0))</f>
        <v>0</v>
      </c>
      <c r="AA64" s="10" t="n">
        <f aca="false">IF(OR(LEFT(N64,6)="Larger",LEFT(N64,4)="Memo"),H64,0)</f>
        <v>357</v>
      </c>
      <c r="AB64" s="12" t="str">
        <f aca="false">IFERROR(INDEX('State Rules'!$M$5:$M$11,MATCH($B64,'State Rules'!$A$5:$A$11,0)),"")</f>
        <v>LONG</v>
      </c>
      <c r="AC64" s="22" t="n">
        <f aca="false">IF(AB64="SHORT",P64,IF(AB64="LONG",Q64,""))</f>
        <v>46221</v>
      </c>
      <c r="AD64" s="11" t="str">
        <f aca="false">IF(AB64="SHORT",R64,IF(AB64="LONG",S64,""))</f>
        <v>Yes</v>
      </c>
    </row>
    <row r="65" customFormat="false" ht="15" hidden="false" customHeight="false" outlineLevel="0" collapsed="false">
      <c r="A65" s="11" t="s">
        <v>40</v>
      </c>
      <c r="B65" s="12" t="str">
        <f aca="false">IF(U65&lt;&gt;"",U65,IFERROR(INDEX(Summary!$B$11:$B$18,MATCH($A65,Summary!$A$11:$A$18,0)),""))</f>
        <v>TX</v>
      </c>
      <c r="C65" s="11" t="s">
        <v>40</v>
      </c>
      <c r="D65" s="11" t="n">
        <v>29</v>
      </c>
      <c r="E65" s="22" t="n">
        <v>45232</v>
      </c>
      <c r="F65" s="11" t="s">
        <v>229</v>
      </c>
      <c r="G65" s="11"/>
      <c r="H65" s="10" t="n">
        <v>375</v>
      </c>
      <c r="I65" s="11" t="s">
        <v>230</v>
      </c>
      <c r="J65" s="11" t="s">
        <v>101</v>
      </c>
      <c r="K65" s="23" t="n">
        <f aca="false">IF(E65="","",($B$4-E65)/365.25)</f>
        <v>2.92676249144422</v>
      </c>
      <c r="L65" s="11" t="str">
        <f aca="false">IF(K65="","no date",IF(K65&lt;1,"0-1 yrs",IF(K65&lt;2,"1-2 yrs",IF(K65&lt;3,"2-3 yrs",IF(K65&lt;5,"3-5 yrs","5+ yrs")))))</f>
        <v>2-3 yrs</v>
      </c>
      <c r="M65" s="25" t="s">
        <v>112</v>
      </c>
      <c r="N65" s="12" t="str">
        <f aca="false">IF(M65="Yes","Memo flag - not ours / unknown / hold: resolve",IF(OR(COUNTIF(Summary!$C$4:$R$4,H65)&gt;0,AND(A65="Philly",COUNTIF(Summary!$C$5:$R$5,H65)&gt;0),AND(A65="TUR",COUNTIF(Summary!$C$6:$R$6,H65)&gt;0),AND(A65="Leading Edge",COUNTIF(Summary!$C$7:$R$7,H65)&gt;0)),"Fee amount - presumed company revenue",IF(H65&lt;=Summary!$B$8,"Small amount - likely fee, review","Larger amount - likely includes agent commission")))</f>
        <v>Memo flag - not ours / unknown / hold: resolve</v>
      </c>
      <c r="O65" s="12" t="n">
        <f aca="false">IFERROR(INDEX('State Rules'!$C$5:$C$11,MATCH($B65,'State Rules'!$A$5:$A$11,0)),"")</f>
        <v>1</v>
      </c>
      <c r="P65" s="22" t="n">
        <f aca="false">IF(OR(O65="",E65=""),"",EDATE(E65,12*O65))</f>
        <v>45598</v>
      </c>
      <c r="Q65" s="22" t="n">
        <f aca="false">IF(E65="","",IFERROR(EDATE(E65,12*INDEX('State Rules'!$E$5:$E$11,MATCH($B65,'State Rules'!$A$5:$A$11,0))),""))</f>
        <v>46328</v>
      </c>
      <c r="R65" s="11" t="str">
        <f aca="false">IF(P65="","",IFERROR(IF(P65&lt;=INDEX('State Rules'!$I$5:$I$11,MATCH($B65,'State Rules'!$A$5:$A$11,0)),"Yes","No"),""))</f>
        <v>Yes</v>
      </c>
      <c r="S65" s="11" t="str">
        <f aca="false">IF(Q65="","",IFERROR(IF(Q65&lt;=INDEX('State Rules'!$I$5:$I$11,MATCH($B65,'State Rules'!$A$5:$A$11,0)),"Yes","No"),""))</f>
        <v>Yes</v>
      </c>
      <c r="T65" s="8"/>
      <c r="U65" s="8"/>
      <c r="V65" s="24"/>
      <c r="W65" s="24"/>
      <c r="X65" s="24"/>
      <c r="Y65" s="8"/>
      <c r="Z65" s="10" t="n">
        <f aca="false">IF(Q65="","",IF(Q65&lt;=$B$4,N(W65)+N(X65),0))</f>
        <v>0</v>
      </c>
      <c r="AA65" s="10" t="n">
        <f aca="false">IF(OR(LEFT(N65,6)="Larger",LEFT(N65,4)="Memo"),H65,0)</f>
        <v>375</v>
      </c>
      <c r="AB65" s="12" t="str">
        <f aca="false">IFERROR(INDEX('State Rules'!$M$5:$M$11,MATCH($B65,'State Rules'!$A$5:$A$11,0)),"")</f>
        <v>LONG</v>
      </c>
      <c r="AC65" s="22" t="n">
        <f aca="false">IF(AB65="SHORT",P65,IF(AB65="LONG",Q65,""))</f>
        <v>46328</v>
      </c>
      <c r="AD65" s="11" t="str">
        <f aca="false">IF(AB65="SHORT",R65,IF(AB65="LONG",S65,""))</f>
        <v>Yes</v>
      </c>
    </row>
    <row r="66" customFormat="false" ht="15" hidden="false" customHeight="false" outlineLevel="0" collapsed="false">
      <c r="A66" s="11" t="s">
        <v>40</v>
      </c>
      <c r="B66" s="12" t="str">
        <f aca="false">IF(U66&lt;&gt;"",U66,IFERROR(INDEX(Summary!$B$11:$B$18,MATCH($A66,Summary!$A$11:$A$18,0)),""))</f>
        <v>TX</v>
      </c>
      <c r="C66" s="11" t="s">
        <v>40</v>
      </c>
      <c r="D66" s="11" t="n">
        <v>30</v>
      </c>
      <c r="E66" s="22" t="n">
        <v>45412</v>
      </c>
      <c r="F66" s="11" t="s">
        <v>231</v>
      </c>
      <c r="G66" s="11" t="s">
        <v>232</v>
      </c>
      <c r="H66" s="10" t="n">
        <v>517.5</v>
      </c>
      <c r="I66" s="11" t="s">
        <v>233</v>
      </c>
      <c r="J66" s="11" t="s">
        <v>101</v>
      </c>
      <c r="K66" s="23" t="n">
        <f aca="false">IF(E66="","",($B$4-E66)/365.25)</f>
        <v>2.43394934976044</v>
      </c>
      <c r="L66" s="11" t="str">
        <f aca="false">IF(K66="","no date",IF(K66&lt;1,"0-1 yrs",IF(K66&lt;2,"1-2 yrs",IF(K66&lt;3,"2-3 yrs",IF(K66&lt;5,"3-5 yrs","5+ yrs")))))</f>
        <v>2-3 yrs</v>
      </c>
      <c r="M66" s="11" t="s">
        <v>101</v>
      </c>
      <c r="N66" s="12" t="str">
        <f aca="false">IF(M66="Yes","Memo flag - not ours / unknown / hold: resolve",IF(OR(COUNTIF(Summary!$C$4:$R$4,H66)&gt;0,AND(A66="Philly",COUNTIF(Summary!$C$5:$R$5,H66)&gt;0),AND(A66="TUR",COUNTIF(Summary!$C$6:$R$6,H66)&gt;0),AND(A66="Leading Edge",COUNTIF(Summary!$C$7:$R$7,H66)&gt;0)),"Fee amount - presumed company revenue",IF(H66&lt;=Summary!$B$8,"Small amount - likely fee, review","Larger amount - likely includes agent commission")))</f>
        <v>Larger amount - likely includes agent commission</v>
      </c>
      <c r="O66" s="12" t="n">
        <f aca="false">IFERROR(INDEX('State Rules'!$C$5:$C$11,MATCH($B66,'State Rules'!$A$5:$A$11,0)),"")</f>
        <v>1</v>
      </c>
      <c r="P66" s="22" t="n">
        <f aca="false">IF(OR(O66="",E66=""),"",EDATE(E66,12*O66))</f>
        <v>45777</v>
      </c>
      <c r="Q66" s="22" t="n">
        <f aca="false">IF(E66="","",IFERROR(EDATE(E66,12*INDEX('State Rules'!$E$5:$E$11,MATCH($B66,'State Rules'!$A$5:$A$11,0))),""))</f>
        <v>46507</v>
      </c>
      <c r="R66" s="11" t="str">
        <f aca="false">IF(P66="","",IFERROR(IF(P66&lt;=INDEX('State Rules'!$I$5:$I$11,MATCH($B66,'State Rules'!$A$5:$A$11,0)),"Yes","No"),""))</f>
        <v>Yes</v>
      </c>
      <c r="S66" s="11" t="str">
        <f aca="false">IF(Q66="","",IFERROR(IF(Q66&lt;=INDEX('State Rules'!$I$5:$I$11,MATCH($B66,'State Rules'!$A$5:$A$11,0)),"Yes","No"),""))</f>
        <v>No</v>
      </c>
      <c r="T66" s="8"/>
      <c r="U66" s="8"/>
      <c r="V66" s="24"/>
      <c r="W66" s="24"/>
      <c r="X66" s="24"/>
      <c r="Y66" s="8"/>
      <c r="Z66" s="10" t="n">
        <f aca="false">IF(Q66="","",IF(Q66&lt;=$B$4,N(W66)+N(X66),0))</f>
        <v>0</v>
      </c>
      <c r="AA66" s="10" t="n">
        <f aca="false">IF(OR(LEFT(N66,6)="Larger",LEFT(N66,4)="Memo"),H66,0)</f>
        <v>517.5</v>
      </c>
      <c r="AB66" s="12" t="str">
        <f aca="false">IFERROR(INDEX('State Rules'!$M$5:$M$11,MATCH($B66,'State Rules'!$A$5:$A$11,0)),"")</f>
        <v>LONG</v>
      </c>
      <c r="AC66" s="22" t="n">
        <f aca="false">IF(AB66="SHORT",P66,IF(AB66="LONG",Q66,""))</f>
        <v>46507</v>
      </c>
      <c r="AD66" s="11" t="str">
        <f aca="false">IF(AB66="SHORT",R66,IF(AB66="LONG",S66,""))</f>
        <v>No</v>
      </c>
    </row>
    <row r="67" customFormat="false" ht="15" hidden="false" customHeight="false" outlineLevel="0" collapsed="false">
      <c r="A67" s="11" t="s">
        <v>40</v>
      </c>
      <c r="B67" s="12" t="str">
        <f aca="false">IF(U67&lt;&gt;"",U67,IFERROR(INDEX(Summary!$B$11:$B$18,MATCH($A67,Summary!$A$11:$A$18,0)),""))</f>
        <v>TX</v>
      </c>
      <c r="C67" s="11" t="s">
        <v>40</v>
      </c>
      <c r="D67" s="11" t="n">
        <v>31</v>
      </c>
      <c r="E67" s="22" t="n">
        <v>45432</v>
      </c>
      <c r="F67" s="11" t="s">
        <v>234</v>
      </c>
      <c r="G67" s="11" t="s">
        <v>235</v>
      </c>
      <c r="H67" s="10" t="n">
        <v>49</v>
      </c>
      <c r="I67" s="11"/>
      <c r="J67" s="11" t="s">
        <v>101</v>
      </c>
      <c r="K67" s="23" t="n">
        <f aca="false">IF(E67="","",($B$4-E67)/365.25)</f>
        <v>2.3791923340178</v>
      </c>
      <c r="L67" s="11" t="str">
        <f aca="false">IF(K67="","no date",IF(K67&lt;1,"0-1 yrs",IF(K67&lt;2,"1-2 yrs",IF(K67&lt;3,"2-3 yrs",IF(K67&lt;5,"3-5 yrs","5+ yrs")))))</f>
        <v>2-3 yrs</v>
      </c>
      <c r="M67" s="11" t="s">
        <v>101</v>
      </c>
      <c r="N67" s="12" t="str">
        <f aca="false">IF(M67="Yes","Memo flag - not ours / unknown / hold: resolve",IF(OR(COUNTIF(Summary!$C$4:$R$4,H67)&gt;0,AND(A67="Philly",COUNTIF(Summary!$C$5:$R$5,H67)&gt;0),AND(A67="TUR",COUNTIF(Summary!$C$6:$R$6,H67)&gt;0),AND(A67="Leading Edge",COUNTIF(Summary!$C$7:$R$7,H67)&gt;0)),"Fee amount - presumed company revenue",IF(H67&lt;=Summary!$B$8,"Small amount - likely fee, review","Larger amount - likely includes agent commission")))</f>
        <v>Fee amount - presumed company revenue</v>
      </c>
      <c r="O67" s="12" t="n">
        <f aca="false">IFERROR(INDEX('State Rules'!$C$5:$C$11,MATCH($B67,'State Rules'!$A$5:$A$11,0)),"")</f>
        <v>1</v>
      </c>
      <c r="P67" s="22" t="n">
        <f aca="false">IF(OR(O67="",E67=""),"",EDATE(E67,12*O67))</f>
        <v>45797</v>
      </c>
      <c r="Q67" s="22" t="n">
        <f aca="false">IF(E67="","",IFERROR(EDATE(E67,12*INDEX('State Rules'!$E$5:$E$11,MATCH($B67,'State Rules'!$A$5:$A$11,0))),""))</f>
        <v>46527</v>
      </c>
      <c r="R67" s="11" t="str">
        <f aca="false">IF(P67="","",IFERROR(IF(P67&lt;=INDEX('State Rules'!$I$5:$I$11,MATCH($B67,'State Rules'!$A$5:$A$11,0)),"Yes","No"),""))</f>
        <v>Yes</v>
      </c>
      <c r="S67" s="11" t="str">
        <f aca="false">IF(Q67="","",IFERROR(IF(Q67&lt;=INDEX('State Rules'!$I$5:$I$11,MATCH($B67,'State Rules'!$A$5:$A$11,0)),"Yes","No"),""))</f>
        <v>No</v>
      </c>
      <c r="T67" s="8"/>
      <c r="U67" s="8"/>
      <c r="V67" s="24"/>
      <c r="W67" s="24"/>
      <c r="X67" s="24"/>
      <c r="Y67" s="8"/>
      <c r="Z67" s="10" t="n">
        <f aca="false">IF(Q67="","",IF(Q67&lt;=$B$4,N(W67)+N(X67),0))</f>
        <v>0</v>
      </c>
      <c r="AA67" s="10" t="n">
        <f aca="false">IF(OR(LEFT(N67,6)="Larger",LEFT(N67,4)="Memo"),H67,0)</f>
        <v>0</v>
      </c>
      <c r="AB67" s="12" t="str">
        <f aca="false">IFERROR(INDEX('State Rules'!$M$5:$M$11,MATCH($B67,'State Rules'!$A$5:$A$11,0)),"")</f>
        <v>LONG</v>
      </c>
      <c r="AC67" s="22" t="n">
        <f aca="false">IF(AB67="SHORT",P67,IF(AB67="LONG",Q67,""))</f>
        <v>46527</v>
      </c>
      <c r="AD67" s="11" t="str">
        <f aca="false">IF(AB67="SHORT",R67,IF(AB67="LONG",S67,""))</f>
        <v>No</v>
      </c>
    </row>
    <row r="68" customFormat="false" ht="15" hidden="false" customHeight="false" outlineLevel="0" collapsed="false">
      <c r="A68" s="11" t="s">
        <v>40</v>
      </c>
      <c r="B68" s="12" t="str">
        <f aca="false">IF(U68&lt;&gt;"",U68,IFERROR(INDEX(Summary!$B$11:$B$18,MATCH($A68,Summary!$A$11:$A$18,0)),""))</f>
        <v>TX</v>
      </c>
      <c r="C68" s="11" t="s">
        <v>40</v>
      </c>
      <c r="D68" s="11" t="n">
        <v>32</v>
      </c>
      <c r="E68" s="22" t="n">
        <v>45456</v>
      </c>
      <c r="F68" s="11" t="s">
        <v>236</v>
      </c>
      <c r="G68" s="11" t="s">
        <v>235</v>
      </c>
      <c r="H68" s="10" t="n">
        <v>100</v>
      </c>
      <c r="I68" s="11"/>
      <c r="J68" s="11" t="s">
        <v>101</v>
      </c>
      <c r="K68" s="23" t="n">
        <f aca="false">IF(E68="","",($B$4-E68)/365.25)</f>
        <v>2.31348391512663</v>
      </c>
      <c r="L68" s="11" t="str">
        <f aca="false">IF(K68="","no date",IF(K68&lt;1,"0-1 yrs",IF(K68&lt;2,"1-2 yrs",IF(K68&lt;3,"2-3 yrs",IF(K68&lt;5,"3-5 yrs","5+ yrs")))))</f>
        <v>2-3 yrs</v>
      </c>
      <c r="M68" s="11" t="s">
        <v>101</v>
      </c>
      <c r="N68" s="12" t="str">
        <f aca="false">IF(M68="Yes","Memo flag - not ours / unknown / hold: resolve",IF(OR(COUNTIF(Summary!$C$4:$R$4,H68)&gt;0,AND(A68="Philly",COUNTIF(Summary!$C$5:$R$5,H68)&gt;0),AND(A68="TUR",COUNTIF(Summary!$C$6:$R$6,H68)&gt;0),AND(A68="Leading Edge",COUNTIF(Summary!$C$7:$R$7,H68)&gt;0)),"Fee amount - presumed company revenue",IF(H68&lt;=Summary!$B$8,"Small amount - likely fee, review","Larger amount - likely includes agent commission")))</f>
        <v>Fee amount - presumed company revenue</v>
      </c>
      <c r="O68" s="12" t="n">
        <f aca="false">IFERROR(INDEX('State Rules'!$C$5:$C$11,MATCH($B68,'State Rules'!$A$5:$A$11,0)),"")</f>
        <v>1</v>
      </c>
      <c r="P68" s="22" t="n">
        <f aca="false">IF(OR(O68="",E68=""),"",EDATE(E68,12*O68))</f>
        <v>45821</v>
      </c>
      <c r="Q68" s="22" t="n">
        <f aca="false">IF(E68="","",IFERROR(EDATE(E68,12*INDEX('State Rules'!$E$5:$E$11,MATCH($B68,'State Rules'!$A$5:$A$11,0))),""))</f>
        <v>46551</v>
      </c>
      <c r="R68" s="11" t="str">
        <f aca="false">IF(P68="","",IFERROR(IF(P68&lt;=INDEX('State Rules'!$I$5:$I$11,MATCH($B68,'State Rules'!$A$5:$A$11,0)),"Yes","No"),""))</f>
        <v>Yes</v>
      </c>
      <c r="S68" s="11" t="str">
        <f aca="false">IF(Q68="","",IFERROR(IF(Q68&lt;=INDEX('State Rules'!$I$5:$I$11,MATCH($B68,'State Rules'!$A$5:$A$11,0)),"Yes","No"),""))</f>
        <v>No</v>
      </c>
      <c r="T68" s="8"/>
      <c r="U68" s="8"/>
      <c r="V68" s="24"/>
      <c r="W68" s="24"/>
      <c r="X68" s="24"/>
      <c r="Y68" s="8"/>
      <c r="Z68" s="10" t="n">
        <f aca="false">IF(Q68="","",IF(Q68&lt;=$B$4,N(W68)+N(X68),0))</f>
        <v>0</v>
      </c>
      <c r="AA68" s="10" t="n">
        <f aca="false">IF(OR(LEFT(N68,6)="Larger",LEFT(N68,4)="Memo"),H68,0)</f>
        <v>0</v>
      </c>
      <c r="AB68" s="12" t="str">
        <f aca="false">IFERROR(INDEX('State Rules'!$M$5:$M$11,MATCH($B68,'State Rules'!$A$5:$A$11,0)),"")</f>
        <v>LONG</v>
      </c>
      <c r="AC68" s="22" t="n">
        <f aca="false">IF(AB68="SHORT",P68,IF(AB68="LONG",Q68,""))</f>
        <v>46551</v>
      </c>
      <c r="AD68" s="11" t="str">
        <f aca="false">IF(AB68="SHORT",R68,IF(AB68="LONG",S68,""))</f>
        <v>No</v>
      </c>
    </row>
    <row r="69" customFormat="false" ht="15" hidden="false" customHeight="false" outlineLevel="0" collapsed="false">
      <c r="A69" s="11" t="s">
        <v>40</v>
      </c>
      <c r="B69" s="12" t="str">
        <f aca="false">IF(U69&lt;&gt;"",U69,IFERROR(INDEX(Summary!$B$11:$B$18,MATCH($A69,Summary!$A$11:$A$18,0)),""))</f>
        <v>TX</v>
      </c>
      <c r="C69" s="11" t="s">
        <v>40</v>
      </c>
      <c r="D69" s="11" t="n">
        <v>33</v>
      </c>
      <c r="E69" s="22" t="n">
        <v>45456</v>
      </c>
      <c r="F69" s="11" t="s">
        <v>237</v>
      </c>
      <c r="G69" s="11" t="s">
        <v>235</v>
      </c>
      <c r="H69" s="10" t="n">
        <v>644</v>
      </c>
      <c r="I69" s="11"/>
      <c r="J69" s="11" t="s">
        <v>101</v>
      </c>
      <c r="K69" s="23" t="n">
        <f aca="false">IF(E69="","",($B$4-E69)/365.25)</f>
        <v>2.31348391512663</v>
      </c>
      <c r="L69" s="11" t="str">
        <f aca="false">IF(K69="","no date",IF(K69&lt;1,"0-1 yrs",IF(K69&lt;2,"1-2 yrs",IF(K69&lt;3,"2-3 yrs",IF(K69&lt;5,"3-5 yrs","5+ yrs")))))</f>
        <v>2-3 yrs</v>
      </c>
      <c r="M69" s="11" t="s">
        <v>101</v>
      </c>
      <c r="N69" s="12" t="str">
        <f aca="false">IF(M69="Yes","Memo flag - not ours / unknown / hold: resolve",IF(OR(COUNTIF(Summary!$C$4:$R$4,H69)&gt;0,AND(A69="Philly",COUNTIF(Summary!$C$5:$R$5,H69)&gt;0),AND(A69="TUR",COUNTIF(Summary!$C$6:$R$6,H69)&gt;0),AND(A69="Leading Edge",COUNTIF(Summary!$C$7:$R$7,H69)&gt;0)),"Fee amount - presumed company revenue",IF(H69&lt;=Summary!$B$8,"Small amount - likely fee, review","Larger amount - likely includes agent commission")))</f>
        <v>Fee amount - presumed company revenue</v>
      </c>
      <c r="O69" s="12" t="n">
        <f aca="false">IFERROR(INDEX('State Rules'!$C$5:$C$11,MATCH($B69,'State Rules'!$A$5:$A$11,0)),"")</f>
        <v>1</v>
      </c>
      <c r="P69" s="22" t="n">
        <f aca="false">IF(OR(O69="",E69=""),"",EDATE(E69,12*O69))</f>
        <v>45821</v>
      </c>
      <c r="Q69" s="22" t="n">
        <f aca="false">IF(E69="","",IFERROR(EDATE(E69,12*INDEX('State Rules'!$E$5:$E$11,MATCH($B69,'State Rules'!$A$5:$A$11,0))),""))</f>
        <v>46551</v>
      </c>
      <c r="R69" s="11" t="str">
        <f aca="false">IF(P69="","",IFERROR(IF(P69&lt;=INDEX('State Rules'!$I$5:$I$11,MATCH($B69,'State Rules'!$A$5:$A$11,0)),"Yes","No"),""))</f>
        <v>Yes</v>
      </c>
      <c r="S69" s="11" t="str">
        <f aca="false">IF(Q69="","",IFERROR(IF(Q69&lt;=INDEX('State Rules'!$I$5:$I$11,MATCH($B69,'State Rules'!$A$5:$A$11,0)),"Yes","No"),""))</f>
        <v>No</v>
      </c>
      <c r="T69" s="8"/>
      <c r="U69" s="8"/>
      <c r="V69" s="24"/>
      <c r="W69" s="24"/>
      <c r="X69" s="24"/>
      <c r="Y69" s="8"/>
      <c r="Z69" s="10" t="n">
        <f aca="false">IF(Q69="","",IF(Q69&lt;=$B$4,N(W69)+N(X69),0))</f>
        <v>0</v>
      </c>
      <c r="AA69" s="10" t="n">
        <f aca="false">IF(OR(LEFT(N69,6)="Larger",LEFT(N69,4)="Memo"),H69,0)</f>
        <v>0</v>
      </c>
      <c r="AB69" s="12" t="str">
        <f aca="false">IFERROR(INDEX('State Rules'!$M$5:$M$11,MATCH($B69,'State Rules'!$A$5:$A$11,0)),"")</f>
        <v>LONG</v>
      </c>
      <c r="AC69" s="22" t="n">
        <f aca="false">IF(AB69="SHORT",P69,IF(AB69="LONG",Q69,""))</f>
        <v>46551</v>
      </c>
      <c r="AD69" s="11" t="str">
        <f aca="false">IF(AB69="SHORT",R69,IF(AB69="LONG",S69,""))</f>
        <v>No</v>
      </c>
    </row>
    <row r="70" customFormat="false" ht="15" hidden="false" customHeight="false" outlineLevel="0" collapsed="false">
      <c r="A70" s="11" t="s">
        <v>40</v>
      </c>
      <c r="B70" s="12" t="str">
        <f aca="false">IF(U70&lt;&gt;"",U70,IFERROR(INDEX(Summary!$B$11:$B$18,MATCH($A70,Summary!$A$11:$A$18,0)),""))</f>
        <v>TX</v>
      </c>
      <c r="C70" s="11" t="s">
        <v>40</v>
      </c>
      <c r="D70" s="11" t="n">
        <v>34</v>
      </c>
      <c r="E70" s="22" t="n">
        <v>45474</v>
      </c>
      <c r="F70" s="11" t="s">
        <v>238</v>
      </c>
      <c r="G70" s="11" t="s">
        <v>239</v>
      </c>
      <c r="H70" s="10" t="n">
        <v>7500</v>
      </c>
      <c r="I70" s="11"/>
      <c r="J70" s="11" t="s">
        <v>101</v>
      </c>
      <c r="K70" s="23" t="n">
        <f aca="false">IF(E70="","",($B$4-E70)/365.25)</f>
        <v>2.26420260095825</v>
      </c>
      <c r="L70" s="11" t="str">
        <f aca="false">IF(K70="","no date",IF(K70&lt;1,"0-1 yrs",IF(K70&lt;2,"1-2 yrs",IF(K70&lt;3,"2-3 yrs",IF(K70&lt;5,"3-5 yrs","5+ yrs")))))</f>
        <v>2-3 yrs</v>
      </c>
      <c r="M70" s="11" t="s">
        <v>101</v>
      </c>
      <c r="N70" s="12" t="str">
        <f aca="false">IF(M70="Yes","Memo flag - not ours / unknown / hold: resolve",IF(OR(COUNTIF(Summary!$C$4:$R$4,H70)&gt;0,AND(A70="Philly",COUNTIF(Summary!$C$5:$R$5,H70)&gt;0),AND(A70="TUR",COUNTIF(Summary!$C$6:$R$6,H70)&gt;0),AND(A70="Leading Edge",COUNTIF(Summary!$C$7:$R$7,H70)&gt;0)),"Fee amount - presumed company revenue",IF(H70&lt;=Summary!$B$8,"Small amount - likely fee, review","Larger amount - likely includes agent commission")))</f>
        <v>Larger amount - likely includes agent commission</v>
      </c>
      <c r="O70" s="12" t="n">
        <f aca="false">IFERROR(INDEX('State Rules'!$C$5:$C$11,MATCH($B70,'State Rules'!$A$5:$A$11,0)),"")</f>
        <v>1</v>
      </c>
      <c r="P70" s="22" t="n">
        <f aca="false">IF(OR(O70="",E70=""),"",EDATE(E70,12*O70))</f>
        <v>45839</v>
      </c>
      <c r="Q70" s="22" t="n">
        <f aca="false">IF(E70="","",IFERROR(EDATE(E70,12*INDEX('State Rules'!$E$5:$E$11,MATCH($B70,'State Rules'!$A$5:$A$11,0))),""))</f>
        <v>46569</v>
      </c>
      <c r="R70" s="11" t="str">
        <f aca="false">IF(P70="","",IFERROR(IF(P70&lt;=INDEX('State Rules'!$I$5:$I$11,MATCH($B70,'State Rules'!$A$5:$A$11,0)),"Yes","No"),""))</f>
        <v>Yes</v>
      </c>
      <c r="S70" s="11" t="str">
        <f aca="false">IF(Q70="","",IFERROR(IF(Q70&lt;=INDEX('State Rules'!$I$5:$I$11,MATCH($B70,'State Rules'!$A$5:$A$11,0)),"Yes","No"),""))</f>
        <v>No</v>
      </c>
      <c r="T70" s="8"/>
      <c r="U70" s="8"/>
      <c r="V70" s="24"/>
      <c r="W70" s="24"/>
      <c r="X70" s="24"/>
      <c r="Y70" s="8"/>
      <c r="Z70" s="10" t="n">
        <f aca="false">IF(Q70="","",IF(Q70&lt;=$B$4,N(W70)+N(X70),0))</f>
        <v>0</v>
      </c>
      <c r="AA70" s="10" t="n">
        <f aca="false">IF(OR(LEFT(N70,6)="Larger",LEFT(N70,4)="Memo"),H70,0)</f>
        <v>7500</v>
      </c>
      <c r="AB70" s="12" t="str">
        <f aca="false">IFERROR(INDEX('State Rules'!$M$5:$M$11,MATCH($B70,'State Rules'!$A$5:$A$11,0)),"")</f>
        <v>LONG</v>
      </c>
      <c r="AC70" s="22" t="n">
        <f aca="false">IF(AB70="SHORT",P70,IF(AB70="LONG",Q70,""))</f>
        <v>46569</v>
      </c>
      <c r="AD70" s="11" t="str">
        <f aca="false">IF(AB70="SHORT",R70,IF(AB70="LONG",S70,""))</f>
        <v>No</v>
      </c>
    </row>
    <row r="71" customFormat="false" ht="15" hidden="false" customHeight="false" outlineLevel="0" collapsed="false">
      <c r="A71" s="11" t="s">
        <v>40</v>
      </c>
      <c r="B71" s="12" t="str">
        <f aca="false">IF(U71&lt;&gt;"",U71,IFERROR(INDEX(Summary!$B$11:$B$18,MATCH($A71,Summary!$A$11:$A$18,0)),""))</f>
        <v>TX</v>
      </c>
      <c r="C71" s="11" t="s">
        <v>40</v>
      </c>
      <c r="D71" s="11" t="n">
        <v>35</v>
      </c>
      <c r="E71" s="22" t="n">
        <v>45574</v>
      </c>
      <c r="F71" s="11" t="s">
        <v>240</v>
      </c>
      <c r="G71" s="11" t="s">
        <v>241</v>
      </c>
      <c r="H71" s="10" t="n">
        <v>495</v>
      </c>
      <c r="I71" s="11" t="s">
        <v>166</v>
      </c>
      <c r="J71" s="11" t="s">
        <v>101</v>
      </c>
      <c r="K71" s="23" t="n">
        <f aca="false">IF(E71="","",($B$4-E71)/365.25)</f>
        <v>1.99041752224504</v>
      </c>
      <c r="L71" s="11" t="str">
        <f aca="false">IF(K71="","no date",IF(K71&lt;1,"0-1 yrs",IF(K71&lt;2,"1-2 yrs",IF(K71&lt;3,"2-3 yrs",IF(K71&lt;5,"3-5 yrs","5+ yrs")))))</f>
        <v>1-2 yrs</v>
      </c>
      <c r="M71" s="11" t="s">
        <v>101</v>
      </c>
      <c r="N71" s="12" t="str">
        <f aca="false">IF(M71="Yes","Memo flag - not ours / unknown / hold: resolve",IF(OR(COUNTIF(Summary!$C$4:$R$4,H71)&gt;0,AND(A71="Philly",COUNTIF(Summary!$C$5:$R$5,H71)&gt;0),AND(A71="TUR",COUNTIF(Summary!$C$6:$R$6,H71)&gt;0),AND(A71="Leading Edge",COUNTIF(Summary!$C$7:$R$7,H71)&gt;0)),"Fee amount - presumed company revenue",IF(H71&lt;=Summary!$B$8,"Small amount - likely fee, review","Larger amount - likely includes agent commission")))</f>
        <v>Fee amount - presumed company revenue</v>
      </c>
      <c r="O71" s="12" t="n">
        <f aca="false">IFERROR(INDEX('State Rules'!$C$5:$C$11,MATCH($B71,'State Rules'!$A$5:$A$11,0)),"")</f>
        <v>1</v>
      </c>
      <c r="P71" s="22" t="n">
        <f aca="false">IF(OR(O71="",E71=""),"",EDATE(E71,12*O71))</f>
        <v>45939</v>
      </c>
      <c r="Q71" s="22" t="n">
        <f aca="false">IF(E71="","",IFERROR(EDATE(E71,12*INDEX('State Rules'!$E$5:$E$11,MATCH($B71,'State Rules'!$A$5:$A$11,0))),""))</f>
        <v>46669</v>
      </c>
      <c r="R71" s="11" t="str">
        <f aca="false">IF(P71="","",IFERROR(IF(P71&lt;=INDEX('State Rules'!$I$5:$I$11,MATCH($B71,'State Rules'!$A$5:$A$11,0)),"Yes","No"),""))</f>
        <v>Yes</v>
      </c>
      <c r="S71" s="11" t="str">
        <f aca="false">IF(Q71="","",IFERROR(IF(Q71&lt;=INDEX('State Rules'!$I$5:$I$11,MATCH($B71,'State Rules'!$A$5:$A$11,0)),"Yes","No"),""))</f>
        <v>No</v>
      </c>
      <c r="T71" s="8"/>
      <c r="U71" s="8"/>
      <c r="V71" s="24"/>
      <c r="W71" s="24"/>
      <c r="X71" s="24"/>
      <c r="Y71" s="8"/>
      <c r="Z71" s="10" t="n">
        <f aca="false">IF(Q71="","",IF(Q71&lt;=$B$4,N(W71)+N(X71),0))</f>
        <v>0</v>
      </c>
      <c r="AA71" s="10" t="n">
        <f aca="false">IF(OR(LEFT(N71,6)="Larger",LEFT(N71,4)="Memo"),H71,0)</f>
        <v>0</v>
      </c>
      <c r="AB71" s="12" t="str">
        <f aca="false">IFERROR(INDEX('State Rules'!$M$5:$M$11,MATCH($B71,'State Rules'!$A$5:$A$11,0)),"")</f>
        <v>LONG</v>
      </c>
      <c r="AC71" s="22" t="n">
        <f aca="false">IF(AB71="SHORT",P71,IF(AB71="LONG",Q71,""))</f>
        <v>46669</v>
      </c>
      <c r="AD71" s="11" t="str">
        <f aca="false">IF(AB71="SHORT",R71,IF(AB71="LONG",S71,""))</f>
        <v>No</v>
      </c>
    </row>
    <row r="72" customFormat="false" ht="15" hidden="false" customHeight="false" outlineLevel="0" collapsed="false">
      <c r="A72" s="11" t="s">
        <v>40</v>
      </c>
      <c r="B72" s="12" t="str">
        <f aca="false">IF(U72&lt;&gt;"",U72,IFERROR(INDEX(Summary!$B$11:$B$18,MATCH($A72,Summary!$A$11:$A$18,0)),""))</f>
        <v>TX</v>
      </c>
      <c r="C72" s="11" t="s">
        <v>40</v>
      </c>
      <c r="D72" s="11" t="n">
        <v>36</v>
      </c>
      <c r="E72" s="22" t="n">
        <v>45649</v>
      </c>
      <c r="F72" s="11" t="s">
        <v>242</v>
      </c>
      <c r="G72" s="11"/>
      <c r="H72" s="10" t="n">
        <v>999.99</v>
      </c>
      <c r="I72" s="11" t="s">
        <v>243</v>
      </c>
      <c r="J72" s="11" t="s">
        <v>101</v>
      </c>
      <c r="K72" s="23" t="n">
        <f aca="false">IF(E72="","",($B$4-E72)/365.25)</f>
        <v>1.78507871321013</v>
      </c>
      <c r="L72" s="11" t="str">
        <f aca="false">IF(K72="","no date",IF(K72&lt;1,"0-1 yrs",IF(K72&lt;2,"1-2 yrs",IF(K72&lt;3,"2-3 yrs",IF(K72&lt;5,"3-5 yrs","5+ yrs")))))</f>
        <v>1-2 yrs</v>
      </c>
      <c r="M72" s="11" t="s">
        <v>101</v>
      </c>
      <c r="N72" s="12" t="str">
        <f aca="false">IF(M72="Yes","Memo flag - not ours / unknown / hold: resolve",IF(OR(COUNTIF(Summary!$C$4:$R$4,H72)&gt;0,AND(A72="Philly",COUNTIF(Summary!$C$5:$R$5,H72)&gt;0),AND(A72="TUR",COUNTIF(Summary!$C$6:$R$6,H72)&gt;0),AND(A72="Leading Edge",COUNTIF(Summary!$C$7:$R$7,H72)&gt;0)),"Fee amount - presumed company revenue",IF(H72&lt;=Summary!$B$8,"Small amount - likely fee, review","Larger amount - likely includes agent commission")))</f>
        <v>Larger amount - likely includes agent commission</v>
      </c>
      <c r="O72" s="12" t="n">
        <f aca="false">IFERROR(INDEX('State Rules'!$C$5:$C$11,MATCH($B72,'State Rules'!$A$5:$A$11,0)),"")</f>
        <v>1</v>
      </c>
      <c r="P72" s="22" t="n">
        <f aca="false">IF(OR(O72="",E72=""),"",EDATE(E72,12*O72))</f>
        <v>46014</v>
      </c>
      <c r="Q72" s="22" t="n">
        <f aca="false">IF(E72="","",IFERROR(EDATE(E72,12*INDEX('State Rules'!$E$5:$E$11,MATCH($B72,'State Rules'!$A$5:$A$11,0))),""))</f>
        <v>46744</v>
      </c>
      <c r="R72" s="11" t="str">
        <f aca="false">IF(P72="","",IFERROR(IF(P72&lt;=INDEX('State Rules'!$I$5:$I$11,MATCH($B72,'State Rules'!$A$5:$A$11,0)),"Yes","No"),""))</f>
        <v>Yes</v>
      </c>
      <c r="S72" s="11" t="str">
        <f aca="false">IF(Q72="","",IFERROR(IF(Q72&lt;=INDEX('State Rules'!$I$5:$I$11,MATCH($B72,'State Rules'!$A$5:$A$11,0)),"Yes","No"),""))</f>
        <v>No</v>
      </c>
      <c r="T72" s="8"/>
      <c r="U72" s="8"/>
      <c r="V72" s="24"/>
      <c r="W72" s="24"/>
      <c r="X72" s="24"/>
      <c r="Y72" s="8"/>
      <c r="Z72" s="10" t="n">
        <f aca="false">IF(Q72="","",IF(Q72&lt;=$B$4,N(W72)+N(X72),0))</f>
        <v>0</v>
      </c>
      <c r="AA72" s="10" t="n">
        <f aca="false">IF(OR(LEFT(N72,6)="Larger",LEFT(N72,4)="Memo"),H72,0)</f>
        <v>999.99</v>
      </c>
      <c r="AB72" s="12" t="str">
        <f aca="false">IFERROR(INDEX('State Rules'!$M$5:$M$11,MATCH($B72,'State Rules'!$A$5:$A$11,0)),"")</f>
        <v>LONG</v>
      </c>
      <c r="AC72" s="22" t="n">
        <f aca="false">IF(AB72="SHORT",P72,IF(AB72="LONG",Q72,""))</f>
        <v>46744</v>
      </c>
      <c r="AD72" s="11" t="str">
        <f aca="false">IF(AB72="SHORT",R72,IF(AB72="LONG",S72,""))</f>
        <v>No</v>
      </c>
    </row>
    <row r="73" customFormat="false" ht="15" hidden="false" customHeight="false" outlineLevel="0" collapsed="false">
      <c r="A73" s="11" t="s">
        <v>40</v>
      </c>
      <c r="B73" s="12" t="str">
        <f aca="false">IF(U73&lt;&gt;"",U73,IFERROR(INDEX(Summary!$B$11:$B$18,MATCH($A73,Summary!$A$11:$A$18,0)),""))</f>
        <v>TX</v>
      </c>
      <c r="C73" s="11" t="s">
        <v>40</v>
      </c>
      <c r="D73" s="11" t="n">
        <v>37</v>
      </c>
      <c r="E73" s="22" t="n">
        <v>45688</v>
      </c>
      <c r="F73" s="11" t="s">
        <v>244</v>
      </c>
      <c r="G73" s="11" t="s">
        <v>245</v>
      </c>
      <c r="H73" s="10" t="n">
        <v>305.91</v>
      </c>
      <c r="I73" s="11"/>
      <c r="J73" s="11" t="s">
        <v>101</v>
      </c>
      <c r="K73" s="23" t="n">
        <f aca="false">IF(E73="","",($B$4-E73)/365.25)</f>
        <v>1.67830253251198</v>
      </c>
      <c r="L73" s="11" t="str">
        <f aca="false">IF(K73="","no date",IF(K73&lt;1,"0-1 yrs",IF(K73&lt;2,"1-2 yrs",IF(K73&lt;3,"2-3 yrs",IF(K73&lt;5,"3-5 yrs","5+ yrs")))))</f>
        <v>1-2 yrs</v>
      </c>
      <c r="M73" s="11" t="s">
        <v>101</v>
      </c>
      <c r="N73" s="12" t="str">
        <f aca="false">IF(M73="Yes","Memo flag - not ours / unknown / hold: resolve",IF(OR(COUNTIF(Summary!$C$4:$R$4,H73)&gt;0,AND(A73="Philly",COUNTIF(Summary!$C$5:$R$5,H73)&gt;0),AND(A73="TUR",COUNTIF(Summary!$C$6:$R$6,H73)&gt;0),AND(A73="Leading Edge",COUNTIF(Summary!$C$7:$R$7,H73)&gt;0)),"Fee amount - presumed company revenue",IF(H73&lt;=Summary!$B$8,"Small amount - likely fee, review","Larger amount - likely includes agent commission")))</f>
        <v>Larger amount - likely includes agent commission</v>
      </c>
      <c r="O73" s="12" t="n">
        <f aca="false">IFERROR(INDEX('State Rules'!$C$5:$C$11,MATCH($B73,'State Rules'!$A$5:$A$11,0)),"")</f>
        <v>1</v>
      </c>
      <c r="P73" s="22" t="n">
        <f aca="false">IF(OR(O73="",E73=""),"",EDATE(E73,12*O73))</f>
        <v>46053</v>
      </c>
      <c r="Q73" s="22" t="n">
        <f aca="false">IF(E73="","",IFERROR(EDATE(E73,12*INDEX('State Rules'!$E$5:$E$11,MATCH($B73,'State Rules'!$A$5:$A$11,0))),""))</f>
        <v>46783</v>
      </c>
      <c r="R73" s="11" t="str">
        <f aca="false">IF(P73="","",IFERROR(IF(P73&lt;=INDEX('State Rules'!$I$5:$I$11,MATCH($B73,'State Rules'!$A$5:$A$11,0)),"Yes","No"),""))</f>
        <v>Yes</v>
      </c>
      <c r="S73" s="11" t="str">
        <f aca="false">IF(Q73="","",IFERROR(IF(Q73&lt;=INDEX('State Rules'!$I$5:$I$11,MATCH($B73,'State Rules'!$A$5:$A$11,0)),"Yes","No"),""))</f>
        <v>No</v>
      </c>
      <c r="T73" s="8"/>
      <c r="U73" s="8"/>
      <c r="V73" s="24"/>
      <c r="W73" s="24"/>
      <c r="X73" s="24"/>
      <c r="Y73" s="8"/>
      <c r="Z73" s="10" t="n">
        <f aca="false">IF(Q73="","",IF(Q73&lt;=$B$4,N(W73)+N(X73),0))</f>
        <v>0</v>
      </c>
      <c r="AA73" s="10" t="n">
        <f aca="false">IF(OR(LEFT(N73,6)="Larger",LEFT(N73,4)="Memo"),H73,0)</f>
        <v>305.91</v>
      </c>
      <c r="AB73" s="12" t="str">
        <f aca="false">IFERROR(INDEX('State Rules'!$M$5:$M$11,MATCH($B73,'State Rules'!$A$5:$A$11,0)),"")</f>
        <v>LONG</v>
      </c>
      <c r="AC73" s="22" t="n">
        <f aca="false">IF(AB73="SHORT",P73,IF(AB73="LONG",Q73,""))</f>
        <v>46783</v>
      </c>
      <c r="AD73" s="11" t="str">
        <f aca="false">IF(AB73="SHORT",R73,IF(AB73="LONG",S73,""))</f>
        <v>No</v>
      </c>
    </row>
    <row r="74" customFormat="false" ht="15" hidden="false" customHeight="false" outlineLevel="0" collapsed="false">
      <c r="A74" s="11" t="s">
        <v>40</v>
      </c>
      <c r="B74" s="12" t="str">
        <f aca="false">IF(U74&lt;&gt;"",U74,IFERROR(INDEX(Summary!$B$11:$B$18,MATCH($A74,Summary!$A$11:$A$18,0)),""))</f>
        <v>TX</v>
      </c>
      <c r="C74" s="11" t="s">
        <v>40</v>
      </c>
      <c r="D74" s="11" t="n">
        <v>38</v>
      </c>
      <c r="E74" s="22" t="n">
        <v>45825</v>
      </c>
      <c r="F74" s="11" t="s">
        <v>246</v>
      </c>
      <c r="G74" s="11"/>
      <c r="H74" s="10" t="n">
        <v>1044</v>
      </c>
      <c r="I74" s="11" t="s">
        <v>247</v>
      </c>
      <c r="J74" s="11" t="s">
        <v>101</v>
      </c>
      <c r="K74" s="23" t="n">
        <f aca="false">IF(E74="","",($B$4-E74)/365.25)</f>
        <v>1.30321697467488</v>
      </c>
      <c r="L74" s="11" t="str">
        <f aca="false">IF(K74="","no date",IF(K74&lt;1,"0-1 yrs",IF(K74&lt;2,"1-2 yrs",IF(K74&lt;3,"2-3 yrs",IF(K74&lt;5,"3-5 yrs","5+ yrs")))))</f>
        <v>1-2 yrs</v>
      </c>
      <c r="M74" s="11" t="s">
        <v>101</v>
      </c>
      <c r="N74" s="12" t="str">
        <f aca="false">IF(M74="Yes","Memo flag - not ours / unknown / hold: resolve",IF(OR(COUNTIF(Summary!$C$4:$R$4,H74)&gt;0,AND(A74="Philly",COUNTIF(Summary!$C$5:$R$5,H74)&gt;0),AND(A74="TUR",COUNTIF(Summary!$C$6:$R$6,H74)&gt;0),AND(A74="Leading Edge",COUNTIF(Summary!$C$7:$R$7,H74)&gt;0)),"Fee amount - presumed company revenue",IF(H74&lt;=Summary!$B$8,"Small amount - likely fee, review","Larger amount - likely includes agent commission")))</f>
        <v>Fee amount - presumed company revenue</v>
      </c>
      <c r="O74" s="12" t="n">
        <f aca="false">IFERROR(INDEX('State Rules'!$C$5:$C$11,MATCH($B74,'State Rules'!$A$5:$A$11,0)),"")</f>
        <v>1</v>
      </c>
      <c r="P74" s="22" t="n">
        <f aca="false">IF(OR(O74="",E74=""),"",EDATE(E74,12*O74))</f>
        <v>46190</v>
      </c>
      <c r="Q74" s="22" t="n">
        <f aca="false">IF(E74="","",IFERROR(EDATE(E74,12*INDEX('State Rules'!$E$5:$E$11,MATCH($B74,'State Rules'!$A$5:$A$11,0))),""))</f>
        <v>46921</v>
      </c>
      <c r="R74" s="11" t="str">
        <f aca="false">IF(P74="","",IFERROR(IF(P74&lt;=INDEX('State Rules'!$I$5:$I$11,MATCH($B74,'State Rules'!$A$5:$A$11,0)),"Yes","No"),""))</f>
        <v>Yes</v>
      </c>
      <c r="S74" s="11" t="str">
        <f aca="false">IF(Q74="","",IFERROR(IF(Q74&lt;=INDEX('State Rules'!$I$5:$I$11,MATCH($B74,'State Rules'!$A$5:$A$11,0)),"Yes","No"),""))</f>
        <v>No</v>
      </c>
      <c r="T74" s="8"/>
      <c r="U74" s="8"/>
      <c r="V74" s="24"/>
      <c r="W74" s="24"/>
      <c r="X74" s="24"/>
      <c r="Y74" s="8"/>
      <c r="Z74" s="10" t="n">
        <f aca="false">IF(Q74="","",IF(Q74&lt;=$B$4,N(W74)+N(X74),0))</f>
        <v>0</v>
      </c>
      <c r="AA74" s="10" t="n">
        <f aca="false">IF(OR(LEFT(N74,6)="Larger",LEFT(N74,4)="Memo"),H74,0)</f>
        <v>0</v>
      </c>
      <c r="AB74" s="12" t="str">
        <f aca="false">IFERROR(INDEX('State Rules'!$M$5:$M$11,MATCH($B74,'State Rules'!$A$5:$A$11,0)),"")</f>
        <v>LONG</v>
      </c>
      <c r="AC74" s="22" t="n">
        <f aca="false">IF(AB74="SHORT",P74,IF(AB74="LONG",Q74,""))</f>
        <v>46921</v>
      </c>
      <c r="AD74" s="11" t="str">
        <f aca="false">IF(AB74="SHORT",R74,IF(AB74="LONG",S74,""))</f>
        <v>No</v>
      </c>
    </row>
    <row r="75" customFormat="false" ht="15" hidden="false" customHeight="false" outlineLevel="0" collapsed="false">
      <c r="A75" s="11" t="s">
        <v>40</v>
      </c>
      <c r="B75" s="12" t="str">
        <f aca="false">IF(U75&lt;&gt;"",U75,IFERROR(INDEX(Summary!$B$11:$B$18,MATCH($A75,Summary!$A$11:$A$18,0)),""))</f>
        <v>TX</v>
      </c>
      <c r="C75" s="11" t="s">
        <v>40</v>
      </c>
      <c r="D75" s="11" t="n">
        <v>39</v>
      </c>
      <c r="E75" s="22" t="n">
        <v>45840</v>
      </c>
      <c r="F75" s="11" t="s">
        <v>248</v>
      </c>
      <c r="G75" s="11" t="s">
        <v>249</v>
      </c>
      <c r="H75" s="10" t="n">
        <v>250</v>
      </c>
      <c r="I75" s="11"/>
      <c r="J75" s="11" t="s">
        <v>101</v>
      </c>
      <c r="K75" s="23" t="n">
        <f aca="false">IF(E75="","",($B$4-E75)/365.25)</f>
        <v>1.2621492128679</v>
      </c>
      <c r="L75" s="11" t="str">
        <f aca="false">IF(K75="","no date",IF(K75&lt;1,"0-1 yrs",IF(K75&lt;2,"1-2 yrs",IF(K75&lt;3,"2-3 yrs",IF(K75&lt;5,"3-5 yrs","5+ yrs")))))</f>
        <v>1-2 yrs</v>
      </c>
      <c r="M75" s="11" t="s">
        <v>101</v>
      </c>
      <c r="N75" s="12" t="str">
        <f aca="false">IF(M75="Yes","Memo flag - not ours / unknown / hold: resolve",IF(OR(COUNTIF(Summary!$C$4:$R$4,H75)&gt;0,AND(A75="Philly",COUNTIF(Summary!$C$5:$R$5,H75)&gt;0),AND(A75="TUR",COUNTIF(Summary!$C$6:$R$6,H75)&gt;0),AND(A75="Leading Edge",COUNTIF(Summary!$C$7:$R$7,H75)&gt;0)),"Fee amount - presumed company revenue",IF(H75&lt;=Summary!$B$8,"Small amount - likely fee, review","Larger amount - likely includes agent commission")))</f>
        <v>Small amount - likely fee, review</v>
      </c>
      <c r="O75" s="12" t="n">
        <f aca="false">IFERROR(INDEX('State Rules'!$C$5:$C$11,MATCH($B75,'State Rules'!$A$5:$A$11,0)),"")</f>
        <v>1</v>
      </c>
      <c r="P75" s="22" t="n">
        <f aca="false">IF(OR(O75="",E75=""),"",EDATE(E75,12*O75))</f>
        <v>46205</v>
      </c>
      <c r="Q75" s="22" t="n">
        <f aca="false">IF(E75="","",IFERROR(EDATE(E75,12*INDEX('State Rules'!$E$5:$E$11,MATCH($B75,'State Rules'!$A$5:$A$11,0))),""))</f>
        <v>46936</v>
      </c>
      <c r="R75" s="11" t="str">
        <f aca="false">IF(P75="","",IFERROR(IF(P75&lt;=INDEX('State Rules'!$I$5:$I$11,MATCH($B75,'State Rules'!$A$5:$A$11,0)),"Yes","No"),""))</f>
        <v>Yes</v>
      </c>
      <c r="S75" s="11" t="str">
        <f aca="false">IF(Q75="","",IFERROR(IF(Q75&lt;=INDEX('State Rules'!$I$5:$I$11,MATCH($B75,'State Rules'!$A$5:$A$11,0)),"Yes","No"),""))</f>
        <v>No</v>
      </c>
      <c r="T75" s="8"/>
      <c r="U75" s="8"/>
      <c r="V75" s="24"/>
      <c r="W75" s="24"/>
      <c r="X75" s="24"/>
      <c r="Y75" s="8"/>
      <c r="Z75" s="10" t="n">
        <f aca="false">IF(Q75="","",IF(Q75&lt;=$B$4,N(W75)+N(X75),0))</f>
        <v>0</v>
      </c>
      <c r="AA75" s="10" t="n">
        <f aca="false">IF(OR(LEFT(N75,6)="Larger",LEFT(N75,4)="Memo"),H75,0)</f>
        <v>0</v>
      </c>
      <c r="AB75" s="12" t="str">
        <f aca="false">IFERROR(INDEX('State Rules'!$M$5:$M$11,MATCH($B75,'State Rules'!$A$5:$A$11,0)),"")</f>
        <v>LONG</v>
      </c>
      <c r="AC75" s="22" t="n">
        <f aca="false">IF(AB75="SHORT",P75,IF(AB75="LONG",Q75,""))</f>
        <v>46936</v>
      </c>
      <c r="AD75" s="11" t="str">
        <f aca="false">IF(AB75="SHORT",R75,IF(AB75="LONG",S75,""))</f>
        <v>No</v>
      </c>
    </row>
    <row r="76" customFormat="false" ht="15" hidden="false" customHeight="false" outlineLevel="0" collapsed="false">
      <c r="A76" s="11" t="s">
        <v>40</v>
      </c>
      <c r="B76" s="12" t="str">
        <f aca="false">IF(U76&lt;&gt;"",U76,IFERROR(INDEX(Summary!$B$11:$B$18,MATCH($A76,Summary!$A$11:$A$18,0)),""))</f>
        <v>TX</v>
      </c>
      <c r="C76" s="11" t="s">
        <v>40</v>
      </c>
      <c r="D76" s="11" t="n">
        <v>40</v>
      </c>
      <c r="E76" s="22" t="n">
        <v>45853</v>
      </c>
      <c r="F76" s="11" t="s">
        <v>250</v>
      </c>
      <c r="G76" s="11" t="s">
        <v>251</v>
      </c>
      <c r="H76" s="10" t="n">
        <v>475</v>
      </c>
      <c r="I76" s="11" t="s">
        <v>252</v>
      </c>
      <c r="J76" s="11" t="s">
        <v>101</v>
      </c>
      <c r="K76" s="23" t="n">
        <f aca="false">IF(E76="","",($B$4-E76)/365.25)</f>
        <v>1.22655715263518</v>
      </c>
      <c r="L76" s="11" t="str">
        <f aca="false">IF(K76="","no date",IF(K76&lt;1,"0-1 yrs",IF(K76&lt;2,"1-2 yrs",IF(K76&lt;3,"2-3 yrs",IF(K76&lt;5,"3-5 yrs","5+ yrs")))))</f>
        <v>1-2 yrs</v>
      </c>
      <c r="M76" s="11" t="s">
        <v>101</v>
      </c>
      <c r="N76" s="12" t="str">
        <f aca="false">IF(M76="Yes","Memo flag - not ours / unknown / hold: resolve",IF(OR(COUNTIF(Summary!$C$4:$R$4,H76)&gt;0,AND(A76="Philly",COUNTIF(Summary!$C$5:$R$5,H76)&gt;0),AND(A76="TUR",COUNTIF(Summary!$C$6:$R$6,H76)&gt;0),AND(A76="Leading Edge",COUNTIF(Summary!$C$7:$R$7,H76)&gt;0)),"Fee amount - presumed company revenue",IF(H76&lt;=Summary!$B$8,"Small amount - likely fee, review","Larger amount - likely includes agent commission")))</f>
        <v>Larger amount - likely includes agent commission</v>
      </c>
      <c r="O76" s="12" t="n">
        <f aca="false">IFERROR(INDEX('State Rules'!$C$5:$C$11,MATCH($B76,'State Rules'!$A$5:$A$11,0)),"")</f>
        <v>1</v>
      </c>
      <c r="P76" s="22" t="n">
        <f aca="false">IF(OR(O76="",E76=""),"",EDATE(E76,12*O76))</f>
        <v>46218</v>
      </c>
      <c r="Q76" s="22" t="n">
        <f aca="false">IF(E76="","",IFERROR(EDATE(E76,12*INDEX('State Rules'!$E$5:$E$11,MATCH($B76,'State Rules'!$A$5:$A$11,0))),""))</f>
        <v>46949</v>
      </c>
      <c r="R76" s="11" t="str">
        <f aca="false">IF(P76="","",IFERROR(IF(P76&lt;=INDEX('State Rules'!$I$5:$I$11,MATCH($B76,'State Rules'!$A$5:$A$11,0)),"Yes","No"),""))</f>
        <v>Yes</v>
      </c>
      <c r="S76" s="11" t="str">
        <f aca="false">IF(Q76="","",IFERROR(IF(Q76&lt;=INDEX('State Rules'!$I$5:$I$11,MATCH($B76,'State Rules'!$A$5:$A$11,0)),"Yes","No"),""))</f>
        <v>No</v>
      </c>
      <c r="T76" s="8"/>
      <c r="U76" s="8"/>
      <c r="V76" s="24"/>
      <c r="W76" s="24"/>
      <c r="X76" s="24"/>
      <c r="Y76" s="8"/>
      <c r="Z76" s="10" t="n">
        <f aca="false">IF(Q76="","",IF(Q76&lt;=$B$4,N(W76)+N(X76),0))</f>
        <v>0</v>
      </c>
      <c r="AA76" s="10" t="n">
        <f aca="false">IF(OR(LEFT(N76,6)="Larger",LEFT(N76,4)="Memo"),H76,0)</f>
        <v>475</v>
      </c>
      <c r="AB76" s="12" t="str">
        <f aca="false">IFERROR(INDEX('State Rules'!$M$5:$M$11,MATCH($B76,'State Rules'!$A$5:$A$11,0)),"")</f>
        <v>LONG</v>
      </c>
      <c r="AC76" s="22" t="n">
        <f aca="false">IF(AB76="SHORT",P76,IF(AB76="LONG",Q76,""))</f>
        <v>46949</v>
      </c>
      <c r="AD76" s="11" t="str">
        <f aca="false">IF(AB76="SHORT",R76,IF(AB76="LONG",S76,""))</f>
        <v>No</v>
      </c>
    </row>
    <row r="77" customFormat="false" ht="15" hidden="false" customHeight="false" outlineLevel="0" collapsed="false">
      <c r="A77" s="11" t="s">
        <v>40</v>
      </c>
      <c r="B77" s="12" t="str">
        <f aca="false">IF(U77&lt;&gt;"",U77,IFERROR(INDEX(Summary!$B$11:$B$18,MATCH($A77,Summary!$A$11:$A$18,0)),""))</f>
        <v>TX</v>
      </c>
      <c r="C77" s="11" t="s">
        <v>40</v>
      </c>
      <c r="D77" s="11" t="n">
        <v>41</v>
      </c>
      <c r="E77" s="22" t="n">
        <v>45854</v>
      </c>
      <c r="F77" s="11" t="s">
        <v>253</v>
      </c>
      <c r="G77" s="11"/>
      <c r="H77" s="10" t="n">
        <v>263</v>
      </c>
      <c r="I77" s="11"/>
      <c r="J77" s="11" t="s">
        <v>101</v>
      </c>
      <c r="K77" s="23" t="n">
        <f aca="false">IF(E77="","",($B$4-E77)/365.25)</f>
        <v>1.22381930184805</v>
      </c>
      <c r="L77" s="11" t="str">
        <f aca="false">IF(K77="","no date",IF(K77&lt;1,"0-1 yrs",IF(K77&lt;2,"1-2 yrs",IF(K77&lt;3,"2-3 yrs",IF(K77&lt;5,"3-5 yrs","5+ yrs")))))</f>
        <v>1-2 yrs</v>
      </c>
      <c r="M77" s="11" t="s">
        <v>101</v>
      </c>
      <c r="N77" s="12" t="str">
        <f aca="false">IF(M77="Yes","Memo flag - not ours / unknown / hold: resolve",IF(OR(COUNTIF(Summary!$C$4:$R$4,H77)&gt;0,AND(A77="Philly",COUNTIF(Summary!$C$5:$R$5,H77)&gt;0),AND(A77="TUR",COUNTIF(Summary!$C$6:$R$6,H77)&gt;0),AND(A77="Leading Edge",COUNTIF(Summary!$C$7:$R$7,H77)&gt;0)),"Fee amount - presumed company revenue",IF(H77&lt;=Summary!$B$8,"Small amount - likely fee, review","Larger amount - likely includes agent commission")))</f>
        <v>Larger amount - likely includes agent commission</v>
      </c>
      <c r="O77" s="12" t="n">
        <f aca="false">IFERROR(INDEX('State Rules'!$C$5:$C$11,MATCH($B77,'State Rules'!$A$5:$A$11,0)),"")</f>
        <v>1</v>
      </c>
      <c r="P77" s="22" t="n">
        <f aca="false">IF(OR(O77="",E77=""),"",EDATE(E77,12*O77))</f>
        <v>46219</v>
      </c>
      <c r="Q77" s="22" t="n">
        <f aca="false">IF(E77="","",IFERROR(EDATE(E77,12*INDEX('State Rules'!$E$5:$E$11,MATCH($B77,'State Rules'!$A$5:$A$11,0))),""))</f>
        <v>46950</v>
      </c>
      <c r="R77" s="11" t="str">
        <f aca="false">IF(P77="","",IFERROR(IF(P77&lt;=INDEX('State Rules'!$I$5:$I$11,MATCH($B77,'State Rules'!$A$5:$A$11,0)),"Yes","No"),""))</f>
        <v>Yes</v>
      </c>
      <c r="S77" s="11" t="str">
        <f aca="false">IF(Q77="","",IFERROR(IF(Q77&lt;=INDEX('State Rules'!$I$5:$I$11,MATCH($B77,'State Rules'!$A$5:$A$11,0)),"Yes","No"),""))</f>
        <v>No</v>
      </c>
      <c r="T77" s="8"/>
      <c r="U77" s="8"/>
      <c r="V77" s="24"/>
      <c r="W77" s="24"/>
      <c r="X77" s="24"/>
      <c r="Y77" s="8"/>
      <c r="Z77" s="10" t="n">
        <f aca="false">IF(Q77="","",IF(Q77&lt;=$B$4,N(W77)+N(X77),0))</f>
        <v>0</v>
      </c>
      <c r="AA77" s="10" t="n">
        <f aca="false">IF(OR(LEFT(N77,6)="Larger",LEFT(N77,4)="Memo"),H77,0)</f>
        <v>263</v>
      </c>
      <c r="AB77" s="12" t="str">
        <f aca="false">IFERROR(INDEX('State Rules'!$M$5:$M$11,MATCH($B77,'State Rules'!$A$5:$A$11,0)),"")</f>
        <v>LONG</v>
      </c>
      <c r="AC77" s="22" t="n">
        <f aca="false">IF(AB77="SHORT",P77,IF(AB77="LONG",Q77,""))</f>
        <v>46950</v>
      </c>
      <c r="AD77" s="11" t="str">
        <f aca="false">IF(AB77="SHORT",R77,IF(AB77="LONG",S77,""))</f>
        <v>No</v>
      </c>
    </row>
    <row r="78" customFormat="false" ht="15" hidden="false" customHeight="false" outlineLevel="0" collapsed="false">
      <c r="A78" s="11" t="s">
        <v>40</v>
      </c>
      <c r="B78" s="12" t="str">
        <f aca="false">IF(U78&lt;&gt;"",U78,IFERROR(INDEX(Summary!$B$11:$B$18,MATCH($A78,Summary!$A$11:$A$18,0)),""))</f>
        <v>TX</v>
      </c>
      <c r="C78" s="11" t="s">
        <v>40</v>
      </c>
      <c r="D78" s="11" t="n">
        <v>42</v>
      </c>
      <c r="E78" s="22" t="n">
        <v>45866</v>
      </c>
      <c r="F78" s="11" t="s">
        <v>254</v>
      </c>
      <c r="G78" s="11" t="s">
        <v>255</v>
      </c>
      <c r="H78" s="10" t="n">
        <v>3750</v>
      </c>
      <c r="I78" s="11" t="s">
        <v>256</v>
      </c>
      <c r="J78" s="11" t="s">
        <v>101</v>
      </c>
      <c r="K78" s="23" t="n">
        <f aca="false">IF(E78="","",($B$4-E78)/365.25)</f>
        <v>1.19096509240246</v>
      </c>
      <c r="L78" s="11" t="str">
        <f aca="false">IF(K78="","no date",IF(K78&lt;1,"0-1 yrs",IF(K78&lt;2,"1-2 yrs",IF(K78&lt;3,"2-3 yrs",IF(K78&lt;5,"3-5 yrs","5+ yrs")))))</f>
        <v>1-2 yrs</v>
      </c>
      <c r="M78" s="11" t="s">
        <v>101</v>
      </c>
      <c r="N78" s="12" t="str">
        <f aca="false">IF(M78="Yes","Memo flag - not ours / unknown / hold: resolve",IF(OR(COUNTIF(Summary!$C$4:$R$4,H78)&gt;0,AND(A78="Philly",COUNTIF(Summary!$C$5:$R$5,H78)&gt;0),AND(A78="TUR",COUNTIF(Summary!$C$6:$R$6,H78)&gt;0),AND(A78="Leading Edge",COUNTIF(Summary!$C$7:$R$7,H78)&gt;0)),"Fee amount - presumed company revenue",IF(H78&lt;=Summary!$B$8,"Small amount - likely fee, review","Larger amount - likely includes agent commission")))</f>
        <v>Larger amount - likely includes agent commission</v>
      </c>
      <c r="O78" s="12" t="n">
        <f aca="false">IFERROR(INDEX('State Rules'!$C$5:$C$11,MATCH($B78,'State Rules'!$A$5:$A$11,0)),"")</f>
        <v>1</v>
      </c>
      <c r="P78" s="22" t="n">
        <f aca="false">IF(OR(O78="",E78=""),"",EDATE(E78,12*O78))</f>
        <v>46231</v>
      </c>
      <c r="Q78" s="22" t="n">
        <f aca="false">IF(E78="","",IFERROR(EDATE(E78,12*INDEX('State Rules'!$E$5:$E$11,MATCH($B78,'State Rules'!$A$5:$A$11,0))),""))</f>
        <v>46962</v>
      </c>
      <c r="R78" s="11" t="str">
        <f aca="false">IF(P78="","",IFERROR(IF(P78&lt;=INDEX('State Rules'!$I$5:$I$11,MATCH($B78,'State Rules'!$A$5:$A$11,0)),"Yes","No"),""))</f>
        <v>Yes</v>
      </c>
      <c r="S78" s="11" t="str">
        <f aca="false">IF(Q78="","",IFERROR(IF(Q78&lt;=INDEX('State Rules'!$I$5:$I$11,MATCH($B78,'State Rules'!$A$5:$A$11,0)),"Yes","No"),""))</f>
        <v>No</v>
      </c>
      <c r="T78" s="8"/>
      <c r="U78" s="8"/>
      <c r="V78" s="24"/>
      <c r="W78" s="24"/>
      <c r="X78" s="24"/>
      <c r="Y78" s="8"/>
      <c r="Z78" s="10" t="n">
        <f aca="false">IF(Q78="","",IF(Q78&lt;=$B$4,N(W78)+N(X78),0))</f>
        <v>0</v>
      </c>
      <c r="AA78" s="10" t="n">
        <f aca="false">IF(OR(LEFT(N78,6)="Larger",LEFT(N78,4)="Memo"),H78,0)</f>
        <v>3750</v>
      </c>
      <c r="AB78" s="12" t="str">
        <f aca="false">IFERROR(INDEX('State Rules'!$M$5:$M$11,MATCH($B78,'State Rules'!$A$5:$A$11,0)),"")</f>
        <v>LONG</v>
      </c>
      <c r="AC78" s="22" t="n">
        <f aca="false">IF(AB78="SHORT",P78,IF(AB78="LONG",Q78,""))</f>
        <v>46962</v>
      </c>
      <c r="AD78" s="11" t="str">
        <f aca="false">IF(AB78="SHORT",R78,IF(AB78="LONG",S78,""))</f>
        <v>No</v>
      </c>
    </row>
    <row r="79" customFormat="false" ht="15" hidden="false" customHeight="false" outlineLevel="0" collapsed="false">
      <c r="A79" s="11" t="s">
        <v>40</v>
      </c>
      <c r="B79" s="12" t="str">
        <f aca="false">IF(U79&lt;&gt;"",U79,IFERROR(INDEX(Summary!$B$11:$B$18,MATCH($A79,Summary!$A$11:$A$18,0)),""))</f>
        <v>TX</v>
      </c>
      <c r="C79" s="11" t="s">
        <v>40</v>
      </c>
      <c r="D79" s="11" t="n">
        <v>43</v>
      </c>
      <c r="E79" s="22" t="n">
        <v>45869</v>
      </c>
      <c r="F79" s="11" t="s">
        <v>257</v>
      </c>
      <c r="G79" s="11" t="s">
        <v>258</v>
      </c>
      <c r="H79" s="10" t="n">
        <v>10600</v>
      </c>
      <c r="I79" s="11"/>
      <c r="J79" s="11" t="s">
        <v>101</v>
      </c>
      <c r="K79" s="23" t="n">
        <f aca="false">IF(E79="","",($B$4-E79)/365.25)</f>
        <v>1.18275154004107</v>
      </c>
      <c r="L79" s="11" t="str">
        <f aca="false">IF(K79="","no date",IF(K79&lt;1,"0-1 yrs",IF(K79&lt;2,"1-2 yrs",IF(K79&lt;3,"2-3 yrs",IF(K79&lt;5,"3-5 yrs","5+ yrs")))))</f>
        <v>1-2 yrs</v>
      </c>
      <c r="M79" s="11" t="s">
        <v>101</v>
      </c>
      <c r="N79" s="12" t="str">
        <f aca="false">IF(M79="Yes","Memo flag - not ours / unknown / hold: resolve",IF(OR(COUNTIF(Summary!$C$4:$R$4,H79)&gt;0,AND(A79="Philly",COUNTIF(Summary!$C$5:$R$5,H79)&gt;0),AND(A79="TUR",COUNTIF(Summary!$C$6:$R$6,H79)&gt;0),AND(A79="Leading Edge",COUNTIF(Summary!$C$7:$R$7,H79)&gt;0)),"Fee amount - presumed company revenue",IF(H79&lt;=Summary!$B$8,"Small amount - likely fee, review","Larger amount - likely includes agent commission")))</f>
        <v>Larger amount - likely includes agent commission</v>
      </c>
      <c r="O79" s="12" t="n">
        <f aca="false">IFERROR(INDEX('State Rules'!$C$5:$C$11,MATCH($B79,'State Rules'!$A$5:$A$11,0)),"")</f>
        <v>1</v>
      </c>
      <c r="P79" s="22" t="n">
        <f aca="false">IF(OR(O79="",E79=""),"",EDATE(E79,12*O79))</f>
        <v>46234</v>
      </c>
      <c r="Q79" s="22" t="n">
        <f aca="false">IF(E79="","",IFERROR(EDATE(E79,12*INDEX('State Rules'!$E$5:$E$11,MATCH($B79,'State Rules'!$A$5:$A$11,0))),""))</f>
        <v>46965</v>
      </c>
      <c r="R79" s="11" t="str">
        <f aca="false">IF(P79="","",IFERROR(IF(P79&lt;=INDEX('State Rules'!$I$5:$I$11,MATCH($B79,'State Rules'!$A$5:$A$11,0)),"Yes","No"),""))</f>
        <v>Yes</v>
      </c>
      <c r="S79" s="11" t="str">
        <f aca="false">IF(Q79="","",IFERROR(IF(Q79&lt;=INDEX('State Rules'!$I$5:$I$11,MATCH($B79,'State Rules'!$A$5:$A$11,0)),"Yes","No"),""))</f>
        <v>No</v>
      </c>
      <c r="T79" s="8"/>
      <c r="U79" s="8"/>
      <c r="V79" s="24"/>
      <c r="W79" s="24"/>
      <c r="X79" s="24"/>
      <c r="Y79" s="8"/>
      <c r="Z79" s="10" t="n">
        <f aca="false">IF(Q79="","",IF(Q79&lt;=$B$4,N(W79)+N(X79),0))</f>
        <v>0</v>
      </c>
      <c r="AA79" s="10" t="n">
        <f aca="false">IF(OR(LEFT(N79,6)="Larger",LEFT(N79,4)="Memo"),H79,0)</f>
        <v>10600</v>
      </c>
      <c r="AB79" s="12" t="str">
        <f aca="false">IFERROR(INDEX('State Rules'!$M$5:$M$11,MATCH($B79,'State Rules'!$A$5:$A$11,0)),"")</f>
        <v>LONG</v>
      </c>
      <c r="AC79" s="22" t="n">
        <f aca="false">IF(AB79="SHORT",P79,IF(AB79="LONG",Q79,""))</f>
        <v>46965</v>
      </c>
      <c r="AD79" s="11" t="str">
        <f aca="false">IF(AB79="SHORT",R79,IF(AB79="LONG",S79,""))</f>
        <v>No</v>
      </c>
    </row>
    <row r="80" customFormat="false" ht="15" hidden="false" customHeight="false" outlineLevel="0" collapsed="false">
      <c r="A80" s="11" t="s">
        <v>40</v>
      </c>
      <c r="B80" s="12" t="str">
        <f aca="false">IF(U80&lt;&gt;"",U80,IFERROR(INDEX(Summary!$B$11:$B$18,MATCH($A80,Summary!$A$11:$A$18,0)),""))</f>
        <v>TX</v>
      </c>
      <c r="C80" s="11" t="s">
        <v>40</v>
      </c>
      <c r="D80" s="11" t="n">
        <v>44</v>
      </c>
      <c r="E80" s="22" t="n">
        <v>45877</v>
      </c>
      <c r="F80" s="11" t="s">
        <v>259</v>
      </c>
      <c r="G80" s="11"/>
      <c r="H80" s="10" t="n">
        <v>531.25</v>
      </c>
      <c r="I80" s="11" t="s">
        <v>260</v>
      </c>
      <c r="J80" s="11" t="s">
        <v>101</v>
      </c>
      <c r="K80" s="23" t="n">
        <f aca="false">IF(E80="","",($B$4-E80)/365.25)</f>
        <v>1.16084873374401</v>
      </c>
      <c r="L80" s="11" t="str">
        <f aca="false">IF(K80="","no date",IF(K80&lt;1,"0-1 yrs",IF(K80&lt;2,"1-2 yrs",IF(K80&lt;3,"2-3 yrs",IF(K80&lt;5,"3-5 yrs","5+ yrs")))))</f>
        <v>1-2 yrs</v>
      </c>
      <c r="M80" s="11" t="s">
        <v>101</v>
      </c>
      <c r="N80" s="12" t="str">
        <f aca="false">IF(M80="Yes","Memo flag - not ours / unknown / hold: resolve",IF(OR(COUNTIF(Summary!$C$4:$R$4,H80)&gt;0,AND(A80="Philly",COUNTIF(Summary!$C$5:$R$5,H80)&gt;0),AND(A80="TUR",COUNTIF(Summary!$C$6:$R$6,H80)&gt;0),AND(A80="Leading Edge",COUNTIF(Summary!$C$7:$R$7,H80)&gt;0)),"Fee amount - presumed company revenue",IF(H80&lt;=Summary!$B$8,"Small amount - likely fee, review","Larger amount - likely includes agent commission")))</f>
        <v>Larger amount - likely includes agent commission</v>
      </c>
      <c r="O80" s="12" t="n">
        <f aca="false">IFERROR(INDEX('State Rules'!$C$5:$C$11,MATCH($B80,'State Rules'!$A$5:$A$11,0)),"")</f>
        <v>1</v>
      </c>
      <c r="P80" s="22" t="n">
        <f aca="false">IF(OR(O80="",E80=""),"",EDATE(E80,12*O80))</f>
        <v>46242</v>
      </c>
      <c r="Q80" s="22" t="n">
        <f aca="false">IF(E80="","",IFERROR(EDATE(E80,12*INDEX('State Rules'!$E$5:$E$11,MATCH($B80,'State Rules'!$A$5:$A$11,0))),""))</f>
        <v>46973</v>
      </c>
      <c r="R80" s="11" t="str">
        <f aca="false">IF(P80="","",IFERROR(IF(P80&lt;=INDEX('State Rules'!$I$5:$I$11,MATCH($B80,'State Rules'!$A$5:$A$11,0)),"Yes","No"),""))</f>
        <v>Yes</v>
      </c>
      <c r="S80" s="11" t="str">
        <f aca="false">IF(Q80="","",IFERROR(IF(Q80&lt;=INDEX('State Rules'!$I$5:$I$11,MATCH($B80,'State Rules'!$A$5:$A$11,0)),"Yes","No"),""))</f>
        <v>No</v>
      </c>
      <c r="T80" s="8"/>
      <c r="U80" s="8"/>
      <c r="V80" s="24"/>
      <c r="W80" s="24"/>
      <c r="X80" s="24"/>
      <c r="Y80" s="8"/>
      <c r="Z80" s="10" t="n">
        <f aca="false">IF(Q80="","",IF(Q80&lt;=$B$4,N(W80)+N(X80),0))</f>
        <v>0</v>
      </c>
      <c r="AA80" s="10" t="n">
        <f aca="false">IF(OR(LEFT(N80,6)="Larger",LEFT(N80,4)="Memo"),H80,0)</f>
        <v>531.25</v>
      </c>
      <c r="AB80" s="12" t="str">
        <f aca="false">IFERROR(INDEX('State Rules'!$M$5:$M$11,MATCH($B80,'State Rules'!$A$5:$A$11,0)),"")</f>
        <v>LONG</v>
      </c>
      <c r="AC80" s="22" t="n">
        <f aca="false">IF(AB80="SHORT",P80,IF(AB80="LONG",Q80,""))</f>
        <v>46973</v>
      </c>
      <c r="AD80" s="11" t="str">
        <f aca="false">IF(AB80="SHORT",R80,IF(AB80="LONG",S80,""))</f>
        <v>No</v>
      </c>
    </row>
    <row r="81" customFormat="false" ht="15" hidden="false" customHeight="false" outlineLevel="0" collapsed="false">
      <c r="A81" s="11" t="s">
        <v>40</v>
      </c>
      <c r="B81" s="12" t="str">
        <f aca="false">IF(U81&lt;&gt;"",U81,IFERROR(INDEX(Summary!$B$11:$B$18,MATCH($A81,Summary!$A$11:$A$18,0)),""))</f>
        <v>TX</v>
      </c>
      <c r="C81" s="11" t="s">
        <v>40</v>
      </c>
      <c r="D81" s="11" t="n">
        <v>45</v>
      </c>
      <c r="E81" s="22" t="n">
        <v>45888</v>
      </c>
      <c r="F81" s="11" t="s">
        <v>261</v>
      </c>
      <c r="G81" s="11"/>
      <c r="H81" s="10" t="n">
        <v>16200</v>
      </c>
      <c r="I81" s="11" t="s">
        <v>262</v>
      </c>
      <c r="J81" s="11" t="s">
        <v>101</v>
      </c>
      <c r="K81" s="23" t="n">
        <f aca="false">IF(E81="","",($B$4-E81)/365.25)</f>
        <v>1.13073237508556</v>
      </c>
      <c r="L81" s="11" t="str">
        <f aca="false">IF(K81="","no date",IF(K81&lt;1,"0-1 yrs",IF(K81&lt;2,"1-2 yrs",IF(K81&lt;3,"2-3 yrs",IF(K81&lt;5,"3-5 yrs","5+ yrs")))))</f>
        <v>1-2 yrs</v>
      </c>
      <c r="M81" s="11" t="s">
        <v>101</v>
      </c>
      <c r="N81" s="12" t="str">
        <f aca="false">IF(M81="Yes","Memo flag - not ours / unknown / hold: resolve",IF(OR(COUNTIF(Summary!$C$4:$R$4,H81)&gt;0,AND(A81="Philly",COUNTIF(Summary!$C$5:$R$5,H81)&gt;0),AND(A81="TUR",COUNTIF(Summary!$C$6:$R$6,H81)&gt;0),AND(A81="Leading Edge",COUNTIF(Summary!$C$7:$R$7,H81)&gt;0)),"Fee amount - presumed company revenue",IF(H81&lt;=Summary!$B$8,"Small amount - likely fee, review","Larger amount - likely includes agent commission")))</f>
        <v>Larger amount - likely includes agent commission</v>
      </c>
      <c r="O81" s="12" t="n">
        <f aca="false">IFERROR(INDEX('State Rules'!$C$5:$C$11,MATCH($B81,'State Rules'!$A$5:$A$11,0)),"")</f>
        <v>1</v>
      </c>
      <c r="P81" s="22" t="n">
        <f aca="false">IF(OR(O81="",E81=""),"",EDATE(E81,12*O81))</f>
        <v>46253</v>
      </c>
      <c r="Q81" s="22" t="n">
        <f aca="false">IF(E81="","",IFERROR(EDATE(E81,12*INDEX('State Rules'!$E$5:$E$11,MATCH($B81,'State Rules'!$A$5:$A$11,0))),""))</f>
        <v>46984</v>
      </c>
      <c r="R81" s="11" t="str">
        <f aca="false">IF(P81="","",IFERROR(IF(P81&lt;=INDEX('State Rules'!$I$5:$I$11,MATCH($B81,'State Rules'!$A$5:$A$11,0)),"Yes","No"),""))</f>
        <v>Yes</v>
      </c>
      <c r="S81" s="11" t="str">
        <f aca="false">IF(Q81="","",IFERROR(IF(Q81&lt;=INDEX('State Rules'!$I$5:$I$11,MATCH($B81,'State Rules'!$A$5:$A$11,0)),"Yes","No"),""))</f>
        <v>No</v>
      </c>
      <c r="T81" s="8"/>
      <c r="U81" s="8"/>
      <c r="V81" s="24"/>
      <c r="W81" s="24"/>
      <c r="X81" s="24"/>
      <c r="Y81" s="8"/>
      <c r="Z81" s="10" t="n">
        <f aca="false">IF(Q81="","",IF(Q81&lt;=$B$4,N(W81)+N(X81),0))</f>
        <v>0</v>
      </c>
      <c r="AA81" s="10" t="n">
        <f aca="false">IF(OR(LEFT(N81,6)="Larger",LEFT(N81,4)="Memo"),H81,0)</f>
        <v>16200</v>
      </c>
      <c r="AB81" s="12" t="str">
        <f aca="false">IFERROR(INDEX('State Rules'!$M$5:$M$11,MATCH($B81,'State Rules'!$A$5:$A$11,0)),"")</f>
        <v>LONG</v>
      </c>
      <c r="AC81" s="22" t="n">
        <f aca="false">IF(AB81="SHORT",P81,IF(AB81="LONG",Q81,""))</f>
        <v>46984</v>
      </c>
      <c r="AD81" s="11" t="str">
        <f aca="false">IF(AB81="SHORT",R81,IF(AB81="LONG",S81,""))</f>
        <v>No</v>
      </c>
    </row>
    <row r="82" customFormat="false" ht="15" hidden="false" customHeight="false" outlineLevel="0" collapsed="false">
      <c r="A82" s="11" t="s">
        <v>40</v>
      </c>
      <c r="B82" s="12" t="str">
        <f aca="false">IF(U82&lt;&gt;"",U82,IFERROR(INDEX(Summary!$B$11:$B$18,MATCH($A82,Summary!$A$11:$A$18,0)),""))</f>
        <v>TX</v>
      </c>
      <c r="C82" s="11" t="s">
        <v>40</v>
      </c>
      <c r="D82" s="11" t="n">
        <v>46</v>
      </c>
      <c r="E82" s="22" t="n">
        <v>45916</v>
      </c>
      <c r="F82" s="11" t="s">
        <v>263</v>
      </c>
      <c r="G82" s="11"/>
      <c r="H82" s="10" t="n">
        <v>636.75</v>
      </c>
      <c r="I82" s="11"/>
      <c r="J82" s="11" t="s">
        <v>101</v>
      </c>
      <c r="K82" s="23" t="n">
        <f aca="false">IF(E82="","",($B$4-E82)/365.25)</f>
        <v>1.05407255304586</v>
      </c>
      <c r="L82" s="11" t="str">
        <f aca="false">IF(K82="","no date",IF(K82&lt;1,"0-1 yrs",IF(K82&lt;2,"1-2 yrs",IF(K82&lt;3,"2-3 yrs",IF(K82&lt;5,"3-5 yrs","5+ yrs")))))</f>
        <v>1-2 yrs</v>
      </c>
      <c r="M82" s="11" t="s">
        <v>101</v>
      </c>
      <c r="N82" s="12" t="str">
        <f aca="false">IF(M82="Yes","Memo flag - not ours / unknown / hold: resolve",IF(OR(COUNTIF(Summary!$C$4:$R$4,H82)&gt;0,AND(A82="Philly",COUNTIF(Summary!$C$5:$R$5,H82)&gt;0),AND(A82="TUR",COUNTIF(Summary!$C$6:$R$6,H82)&gt;0),AND(A82="Leading Edge",COUNTIF(Summary!$C$7:$R$7,H82)&gt;0)),"Fee amount - presumed company revenue",IF(H82&lt;=Summary!$B$8,"Small amount - likely fee, review","Larger amount - likely includes agent commission")))</f>
        <v>Larger amount - likely includes agent commission</v>
      </c>
      <c r="O82" s="12" t="n">
        <f aca="false">IFERROR(INDEX('State Rules'!$C$5:$C$11,MATCH($B82,'State Rules'!$A$5:$A$11,0)),"")</f>
        <v>1</v>
      </c>
      <c r="P82" s="22" t="n">
        <f aca="false">IF(OR(O82="",E82=""),"",EDATE(E82,12*O82))</f>
        <v>46281</v>
      </c>
      <c r="Q82" s="22" t="n">
        <f aca="false">IF(E82="","",IFERROR(EDATE(E82,12*INDEX('State Rules'!$E$5:$E$11,MATCH($B82,'State Rules'!$A$5:$A$11,0))),""))</f>
        <v>47012</v>
      </c>
      <c r="R82" s="11" t="str">
        <f aca="false">IF(P82="","",IFERROR(IF(P82&lt;=INDEX('State Rules'!$I$5:$I$11,MATCH($B82,'State Rules'!$A$5:$A$11,0)),"Yes","No"),""))</f>
        <v>Yes</v>
      </c>
      <c r="S82" s="11" t="str">
        <f aca="false">IF(Q82="","",IFERROR(IF(Q82&lt;=INDEX('State Rules'!$I$5:$I$11,MATCH($B82,'State Rules'!$A$5:$A$11,0)),"Yes","No"),""))</f>
        <v>No</v>
      </c>
      <c r="T82" s="8"/>
      <c r="U82" s="8"/>
      <c r="V82" s="24"/>
      <c r="W82" s="24"/>
      <c r="X82" s="24"/>
      <c r="Y82" s="8"/>
      <c r="Z82" s="10" t="n">
        <f aca="false">IF(Q82="","",IF(Q82&lt;=$B$4,N(W82)+N(X82),0))</f>
        <v>0</v>
      </c>
      <c r="AA82" s="10" t="n">
        <f aca="false">IF(OR(LEFT(N82,6)="Larger",LEFT(N82,4)="Memo"),H82,0)</f>
        <v>636.75</v>
      </c>
      <c r="AB82" s="12" t="str">
        <f aca="false">IFERROR(INDEX('State Rules'!$M$5:$M$11,MATCH($B82,'State Rules'!$A$5:$A$11,0)),"")</f>
        <v>LONG</v>
      </c>
      <c r="AC82" s="22" t="n">
        <f aca="false">IF(AB82="SHORT",P82,IF(AB82="LONG",Q82,""))</f>
        <v>47012</v>
      </c>
      <c r="AD82" s="11" t="str">
        <f aca="false">IF(AB82="SHORT",R82,IF(AB82="LONG",S82,""))</f>
        <v>No</v>
      </c>
    </row>
    <row r="83" customFormat="false" ht="15" hidden="false" customHeight="false" outlineLevel="0" collapsed="false">
      <c r="A83" s="11" t="s">
        <v>40</v>
      </c>
      <c r="B83" s="12" t="str">
        <f aca="false">IF(U83&lt;&gt;"",U83,IFERROR(INDEX(Summary!$B$11:$B$18,MATCH($A83,Summary!$A$11:$A$18,0)),""))</f>
        <v>TX</v>
      </c>
      <c r="C83" s="11" t="s">
        <v>40</v>
      </c>
      <c r="D83" s="11" t="n">
        <v>47</v>
      </c>
      <c r="E83" s="22" t="n">
        <v>45930</v>
      </c>
      <c r="F83" s="11" t="s">
        <v>264</v>
      </c>
      <c r="G83" s="11"/>
      <c r="H83" s="10" t="n">
        <v>100</v>
      </c>
      <c r="I83" s="11"/>
      <c r="J83" s="11" t="s">
        <v>101</v>
      </c>
      <c r="K83" s="23" t="n">
        <f aca="false">IF(E83="","",($B$4-E83)/365.25)</f>
        <v>1.01574264202601</v>
      </c>
      <c r="L83" s="11" t="str">
        <f aca="false">IF(K83="","no date",IF(K83&lt;1,"0-1 yrs",IF(K83&lt;2,"1-2 yrs",IF(K83&lt;3,"2-3 yrs",IF(K83&lt;5,"3-5 yrs","5+ yrs")))))</f>
        <v>1-2 yrs</v>
      </c>
      <c r="M83" s="11" t="s">
        <v>101</v>
      </c>
      <c r="N83" s="12" t="str">
        <f aca="false">IF(M83="Yes","Memo flag - not ours / unknown / hold: resolve",IF(OR(COUNTIF(Summary!$C$4:$R$4,H83)&gt;0,AND(A83="Philly",COUNTIF(Summary!$C$5:$R$5,H83)&gt;0),AND(A83="TUR",COUNTIF(Summary!$C$6:$R$6,H83)&gt;0),AND(A83="Leading Edge",COUNTIF(Summary!$C$7:$R$7,H83)&gt;0)),"Fee amount - presumed company revenue",IF(H83&lt;=Summary!$B$8,"Small amount - likely fee, review","Larger amount - likely includes agent commission")))</f>
        <v>Fee amount - presumed company revenue</v>
      </c>
      <c r="O83" s="12" t="n">
        <f aca="false">IFERROR(INDEX('State Rules'!$C$5:$C$11,MATCH($B83,'State Rules'!$A$5:$A$11,0)),"")</f>
        <v>1</v>
      </c>
      <c r="P83" s="22" t="n">
        <f aca="false">IF(OR(O83="",E83=""),"",EDATE(E83,12*O83))</f>
        <v>46295</v>
      </c>
      <c r="Q83" s="22" t="n">
        <f aca="false">IF(E83="","",IFERROR(EDATE(E83,12*INDEX('State Rules'!$E$5:$E$11,MATCH($B83,'State Rules'!$A$5:$A$11,0))),""))</f>
        <v>47026</v>
      </c>
      <c r="R83" s="11" t="str">
        <f aca="false">IF(P83="","",IFERROR(IF(P83&lt;=INDEX('State Rules'!$I$5:$I$11,MATCH($B83,'State Rules'!$A$5:$A$11,0)),"Yes","No"),""))</f>
        <v>Yes</v>
      </c>
      <c r="S83" s="11" t="str">
        <f aca="false">IF(Q83="","",IFERROR(IF(Q83&lt;=INDEX('State Rules'!$I$5:$I$11,MATCH($B83,'State Rules'!$A$5:$A$11,0)),"Yes","No"),""))</f>
        <v>No</v>
      </c>
      <c r="T83" s="8"/>
      <c r="U83" s="8"/>
      <c r="V83" s="24"/>
      <c r="W83" s="24"/>
      <c r="X83" s="24"/>
      <c r="Y83" s="8"/>
      <c r="Z83" s="10" t="n">
        <f aca="false">IF(Q83="","",IF(Q83&lt;=$B$4,N(W83)+N(X83),0))</f>
        <v>0</v>
      </c>
      <c r="AA83" s="10" t="n">
        <f aca="false">IF(OR(LEFT(N83,6)="Larger",LEFT(N83,4)="Memo"),H83,0)</f>
        <v>0</v>
      </c>
      <c r="AB83" s="12" t="str">
        <f aca="false">IFERROR(INDEX('State Rules'!$M$5:$M$11,MATCH($B83,'State Rules'!$A$5:$A$11,0)),"")</f>
        <v>LONG</v>
      </c>
      <c r="AC83" s="22" t="n">
        <f aca="false">IF(AB83="SHORT",P83,IF(AB83="LONG",Q83,""))</f>
        <v>47026</v>
      </c>
      <c r="AD83" s="11" t="str">
        <f aca="false">IF(AB83="SHORT",R83,IF(AB83="LONG",S83,""))</f>
        <v>No</v>
      </c>
    </row>
    <row r="84" customFormat="false" ht="15" hidden="false" customHeight="false" outlineLevel="0" collapsed="false">
      <c r="A84" s="11" t="s">
        <v>40</v>
      </c>
      <c r="B84" s="12" t="str">
        <f aca="false">IF(U84&lt;&gt;"",U84,IFERROR(INDEX(Summary!$B$11:$B$18,MATCH($A84,Summary!$A$11:$A$18,0)),""))</f>
        <v>TX</v>
      </c>
      <c r="C84" s="11" t="s">
        <v>40</v>
      </c>
      <c r="D84" s="11" t="n">
        <v>48</v>
      </c>
      <c r="E84" s="22" t="n">
        <v>46045</v>
      </c>
      <c r="F84" s="11" t="s">
        <v>265</v>
      </c>
      <c r="G84" s="11"/>
      <c r="H84" s="10" t="n">
        <v>850</v>
      </c>
      <c r="I84" s="11"/>
      <c r="J84" s="11" t="s">
        <v>101</v>
      </c>
      <c r="K84" s="23" t="n">
        <f aca="false">IF(E84="","",($B$4-E84)/365.25)</f>
        <v>0.700889801505818</v>
      </c>
      <c r="L84" s="11" t="str">
        <f aca="false">IF(K84="","no date",IF(K84&lt;1,"0-1 yrs",IF(K84&lt;2,"1-2 yrs",IF(K84&lt;3,"2-3 yrs",IF(K84&lt;5,"3-5 yrs","5+ yrs")))))</f>
        <v>0-1 yrs</v>
      </c>
      <c r="M84" s="11" t="s">
        <v>101</v>
      </c>
      <c r="N84" s="12" t="str">
        <f aca="false">IF(M84="Yes","Memo flag - not ours / unknown / hold: resolve",IF(OR(COUNTIF(Summary!$C$4:$R$4,H84)&gt;0,AND(A84="Philly",COUNTIF(Summary!$C$5:$R$5,H84)&gt;0),AND(A84="TUR",COUNTIF(Summary!$C$6:$R$6,H84)&gt;0),AND(A84="Leading Edge",COUNTIF(Summary!$C$7:$R$7,H84)&gt;0)),"Fee amount - presumed company revenue",IF(H84&lt;=Summary!$B$8,"Small amount - likely fee, review","Larger amount - likely includes agent commission")))</f>
        <v>Larger amount - likely includes agent commission</v>
      </c>
      <c r="O84" s="12" t="n">
        <f aca="false">IFERROR(INDEX('State Rules'!$C$5:$C$11,MATCH($B84,'State Rules'!$A$5:$A$11,0)),"")</f>
        <v>1</v>
      </c>
      <c r="P84" s="22" t="n">
        <f aca="false">IF(OR(O84="",E84=""),"",EDATE(E84,12*O84))</f>
        <v>46410</v>
      </c>
      <c r="Q84" s="22" t="n">
        <f aca="false">IF(E84="","",IFERROR(EDATE(E84,12*INDEX('State Rules'!$E$5:$E$11,MATCH($B84,'State Rules'!$A$5:$A$11,0))),""))</f>
        <v>47141</v>
      </c>
      <c r="R84" s="11" t="str">
        <f aca="false">IF(P84="","",IFERROR(IF(P84&lt;=INDEX('State Rules'!$I$5:$I$11,MATCH($B84,'State Rules'!$A$5:$A$11,0)),"Yes","No"),""))</f>
        <v>Yes</v>
      </c>
      <c r="S84" s="11" t="str">
        <f aca="false">IF(Q84="","",IFERROR(IF(Q84&lt;=INDEX('State Rules'!$I$5:$I$11,MATCH($B84,'State Rules'!$A$5:$A$11,0)),"Yes","No"),""))</f>
        <v>No</v>
      </c>
      <c r="T84" s="8"/>
      <c r="U84" s="8"/>
      <c r="V84" s="24"/>
      <c r="W84" s="24"/>
      <c r="X84" s="24"/>
      <c r="Y84" s="8"/>
      <c r="Z84" s="10" t="n">
        <f aca="false">IF(Q84="","",IF(Q84&lt;=$B$4,N(W84)+N(X84),0))</f>
        <v>0</v>
      </c>
      <c r="AA84" s="10" t="n">
        <f aca="false">IF(OR(LEFT(N84,6)="Larger",LEFT(N84,4)="Memo"),H84,0)</f>
        <v>850</v>
      </c>
      <c r="AB84" s="12" t="str">
        <f aca="false">IFERROR(INDEX('State Rules'!$M$5:$M$11,MATCH($B84,'State Rules'!$A$5:$A$11,0)),"")</f>
        <v>LONG</v>
      </c>
      <c r="AC84" s="22" t="n">
        <f aca="false">IF(AB84="SHORT",P84,IF(AB84="LONG",Q84,""))</f>
        <v>47141</v>
      </c>
      <c r="AD84" s="11" t="str">
        <f aca="false">IF(AB84="SHORT",R84,IF(AB84="LONG",S84,""))</f>
        <v>No</v>
      </c>
    </row>
    <row r="85" customFormat="false" ht="15" hidden="false" customHeight="false" outlineLevel="0" collapsed="false">
      <c r="A85" s="11" t="s">
        <v>40</v>
      </c>
      <c r="B85" s="12" t="str">
        <f aca="false">IF(U85&lt;&gt;"",U85,IFERROR(INDEX(Summary!$B$11:$B$18,MATCH($A85,Summary!$A$11:$A$18,0)),""))</f>
        <v>TX</v>
      </c>
      <c r="C85" s="11" t="s">
        <v>40</v>
      </c>
      <c r="D85" s="11" t="n">
        <v>49</v>
      </c>
      <c r="E85" s="22" t="n">
        <v>46052</v>
      </c>
      <c r="F85" s="11" t="s">
        <v>266</v>
      </c>
      <c r="G85" s="11"/>
      <c r="H85" s="10" t="n">
        <v>644</v>
      </c>
      <c r="I85" s="11"/>
      <c r="J85" s="11" t="s">
        <v>101</v>
      </c>
      <c r="K85" s="23" t="n">
        <f aca="false">IF(E85="","",($B$4-E85)/365.25)</f>
        <v>0.681724845995893</v>
      </c>
      <c r="L85" s="11" t="str">
        <f aca="false">IF(K85="","no date",IF(K85&lt;1,"0-1 yrs",IF(K85&lt;2,"1-2 yrs",IF(K85&lt;3,"2-3 yrs",IF(K85&lt;5,"3-5 yrs","5+ yrs")))))</f>
        <v>0-1 yrs</v>
      </c>
      <c r="M85" s="11" t="s">
        <v>101</v>
      </c>
      <c r="N85" s="12" t="str">
        <f aca="false">IF(M85="Yes","Memo flag - not ours / unknown / hold: resolve",IF(OR(COUNTIF(Summary!$C$4:$R$4,H85)&gt;0,AND(A85="Philly",COUNTIF(Summary!$C$5:$R$5,H85)&gt;0),AND(A85="TUR",COUNTIF(Summary!$C$6:$R$6,H85)&gt;0),AND(A85="Leading Edge",COUNTIF(Summary!$C$7:$R$7,H85)&gt;0)),"Fee amount - presumed company revenue",IF(H85&lt;=Summary!$B$8,"Small amount - likely fee, review","Larger amount - likely includes agent commission")))</f>
        <v>Fee amount - presumed company revenue</v>
      </c>
      <c r="O85" s="12" t="n">
        <f aca="false">IFERROR(INDEX('State Rules'!$C$5:$C$11,MATCH($B85,'State Rules'!$A$5:$A$11,0)),"")</f>
        <v>1</v>
      </c>
      <c r="P85" s="22" t="n">
        <f aca="false">IF(OR(O85="",E85=""),"",EDATE(E85,12*O85))</f>
        <v>46417</v>
      </c>
      <c r="Q85" s="22" t="n">
        <f aca="false">IF(E85="","",IFERROR(EDATE(E85,12*INDEX('State Rules'!$E$5:$E$11,MATCH($B85,'State Rules'!$A$5:$A$11,0))),""))</f>
        <v>47148</v>
      </c>
      <c r="R85" s="11" t="str">
        <f aca="false">IF(P85="","",IFERROR(IF(P85&lt;=INDEX('State Rules'!$I$5:$I$11,MATCH($B85,'State Rules'!$A$5:$A$11,0)),"Yes","No"),""))</f>
        <v>Yes</v>
      </c>
      <c r="S85" s="11" t="str">
        <f aca="false">IF(Q85="","",IFERROR(IF(Q85&lt;=INDEX('State Rules'!$I$5:$I$11,MATCH($B85,'State Rules'!$A$5:$A$11,0)),"Yes","No"),""))</f>
        <v>No</v>
      </c>
      <c r="T85" s="8"/>
      <c r="U85" s="8"/>
      <c r="V85" s="24"/>
      <c r="W85" s="24"/>
      <c r="X85" s="24"/>
      <c r="Y85" s="8"/>
      <c r="Z85" s="10" t="n">
        <f aca="false">IF(Q85="","",IF(Q85&lt;=$B$4,N(W85)+N(X85),0))</f>
        <v>0</v>
      </c>
      <c r="AA85" s="10" t="n">
        <f aca="false">IF(OR(LEFT(N85,6)="Larger",LEFT(N85,4)="Memo"),H85,0)</f>
        <v>0</v>
      </c>
      <c r="AB85" s="12" t="str">
        <f aca="false">IFERROR(INDEX('State Rules'!$M$5:$M$11,MATCH($B85,'State Rules'!$A$5:$A$11,0)),"")</f>
        <v>LONG</v>
      </c>
      <c r="AC85" s="22" t="n">
        <f aca="false">IF(AB85="SHORT",P85,IF(AB85="LONG",Q85,""))</f>
        <v>47148</v>
      </c>
      <c r="AD85" s="11" t="str">
        <f aca="false">IF(AB85="SHORT",R85,IF(AB85="LONG",S85,""))</f>
        <v>No</v>
      </c>
    </row>
    <row r="86" customFormat="false" ht="15" hidden="false" customHeight="false" outlineLevel="0" collapsed="false">
      <c r="A86" s="11" t="s">
        <v>40</v>
      </c>
      <c r="B86" s="12" t="str">
        <f aca="false">IF(U86&lt;&gt;"",U86,IFERROR(INDEX(Summary!$B$11:$B$18,MATCH($A86,Summary!$A$11:$A$18,0)),""))</f>
        <v>TX</v>
      </c>
      <c r="C86" s="11" t="s">
        <v>40</v>
      </c>
      <c r="D86" s="11" t="n">
        <v>50</v>
      </c>
      <c r="E86" s="22" t="n">
        <v>46098</v>
      </c>
      <c r="F86" s="11" t="s">
        <v>267</v>
      </c>
      <c r="G86" s="11" t="s">
        <v>268</v>
      </c>
      <c r="H86" s="10" t="n">
        <v>1397.5</v>
      </c>
      <c r="I86" s="11"/>
      <c r="J86" s="11" t="s">
        <v>101</v>
      </c>
      <c r="K86" s="23" t="n">
        <f aca="false">IF(E86="","",($B$4-E86)/365.25)</f>
        <v>0.555783709787817</v>
      </c>
      <c r="L86" s="11" t="str">
        <f aca="false">IF(K86="","no date",IF(K86&lt;1,"0-1 yrs",IF(K86&lt;2,"1-2 yrs",IF(K86&lt;3,"2-3 yrs",IF(K86&lt;5,"3-5 yrs","5+ yrs")))))</f>
        <v>0-1 yrs</v>
      </c>
      <c r="M86" s="11" t="s">
        <v>101</v>
      </c>
      <c r="N86" s="12" t="str">
        <f aca="false">IF(M86="Yes","Memo flag - not ours / unknown / hold: resolve",IF(OR(COUNTIF(Summary!$C$4:$R$4,H86)&gt;0,AND(A86="Philly",COUNTIF(Summary!$C$5:$R$5,H86)&gt;0),AND(A86="TUR",COUNTIF(Summary!$C$6:$R$6,H86)&gt;0),AND(A86="Leading Edge",COUNTIF(Summary!$C$7:$R$7,H86)&gt;0)),"Fee amount - presumed company revenue",IF(H86&lt;=Summary!$B$8,"Small amount - likely fee, review","Larger amount - likely includes agent commission")))</f>
        <v>Larger amount - likely includes agent commission</v>
      </c>
      <c r="O86" s="12" t="n">
        <f aca="false">IFERROR(INDEX('State Rules'!$C$5:$C$11,MATCH($B86,'State Rules'!$A$5:$A$11,0)),"")</f>
        <v>1</v>
      </c>
      <c r="P86" s="22" t="n">
        <f aca="false">IF(OR(O86="",E86=""),"",EDATE(E86,12*O86))</f>
        <v>46463</v>
      </c>
      <c r="Q86" s="22" t="n">
        <f aca="false">IF(E86="","",IFERROR(EDATE(E86,12*INDEX('State Rules'!$E$5:$E$11,MATCH($B86,'State Rules'!$A$5:$A$11,0))),""))</f>
        <v>47194</v>
      </c>
      <c r="R86" s="11" t="str">
        <f aca="false">IF(P86="","",IFERROR(IF(P86&lt;=INDEX('State Rules'!$I$5:$I$11,MATCH($B86,'State Rules'!$A$5:$A$11,0)),"Yes","No"),""))</f>
        <v>No</v>
      </c>
      <c r="S86" s="11" t="str">
        <f aca="false">IF(Q86="","",IFERROR(IF(Q86&lt;=INDEX('State Rules'!$I$5:$I$11,MATCH($B86,'State Rules'!$A$5:$A$11,0)),"Yes","No"),""))</f>
        <v>No</v>
      </c>
      <c r="T86" s="8"/>
      <c r="U86" s="8"/>
      <c r="V86" s="24"/>
      <c r="W86" s="24"/>
      <c r="X86" s="24"/>
      <c r="Y86" s="8"/>
      <c r="Z86" s="10" t="n">
        <f aca="false">IF(Q86="","",IF(Q86&lt;=$B$4,N(W86)+N(X86),0))</f>
        <v>0</v>
      </c>
      <c r="AA86" s="10" t="n">
        <f aca="false">IF(OR(LEFT(N86,6)="Larger",LEFT(N86,4)="Memo"),H86,0)</f>
        <v>1397.5</v>
      </c>
      <c r="AB86" s="12" t="str">
        <f aca="false">IFERROR(INDEX('State Rules'!$M$5:$M$11,MATCH($B86,'State Rules'!$A$5:$A$11,0)),"")</f>
        <v>LONG</v>
      </c>
      <c r="AC86" s="22" t="n">
        <f aca="false">IF(AB86="SHORT",P86,IF(AB86="LONG",Q86,""))</f>
        <v>47194</v>
      </c>
      <c r="AD86" s="11" t="str">
        <f aca="false">IF(AB86="SHORT",R86,IF(AB86="LONG",S86,""))</f>
        <v>No</v>
      </c>
    </row>
    <row r="87" customFormat="false" ht="15" hidden="false" customHeight="false" outlineLevel="0" collapsed="false">
      <c r="A87" s="11" t="s">
        <v>40</v>
      </c>
      <c r="B87" s="12" t="str">
        <f aca="false">IF(U87&lt;&gt;"",U87,IFERROR(INDEX(Summary!$B$11:$B$18,MATCH($A87,Summary!$A$11:$A$18,0)),""))</f>
        <v>TX</v>
      </c>
      <c r="C87" s="11" t="s">
        <v>40</v>
      </c>
      <c r="D87" s="11" t="n">
        <v>51</v>
      </c>
      <c r="E87" s="22" t="n">
        <v>46119</v>
      </c>
      <c r="F87" s="11" t="s">
        <v>269</v>
      </c>
      <c r="G87" s="11" t="s">
        <v>270</v>
      </c>
      <c r="H87" s="10" t="n">
        <v>999.5</v>
      </c>
      <c r="I87" s="11"/>
      <c r="J87" s="11" t="s">
        <v>101</v>
      </c>
      <c r="K87" s="23" t="n">
        <f aca="false">IF(E87="","",($B$4-E87)/365.25)</f>
        <v>0.498288843258042</v>
      </c>
      <c r="L87" s="11" t="str">
        <f aca="false">IF(K87="","no date",IF(K87&lt;1,"0-1 yrs",IF(K87&lt;2,"1-2 yrs",IF(K87&lt;3,"2-3 yrs",IF(K87&lt;5,"3-5 yrs","5+ yrs")))))</f>
        <v>0-1 yrs</v>
      </c>
      <c r="M87" s="11" t="s">
        <v>101</v>
      </c>
      <c r="N87" s="12" t="str">
        <f aca="false">IF(M87="Yes","Memo flag - not ours / unknown / hold: resolve",IF(OR(COUNTIF(Summary!$C$4:$R$4,H87)&gt;0,AND(A87="Philly",COUNTIF(Summary!$C$5:$R$5,H87)&gt;0),AND(A87="TUR",COUNTIF(Summary!$C$6:$R$6,H87)&gt;0),AND(A87="Leading Edge",COUNTIF(Summary!$C$7:$R$7,H87)&gt;0)),"Fee amount - presumed company revenue",IF(H87&lt;=Summary!$B$8,"Small amount - likely fee, review","Larger amount - likely includes agent commission")))</f>
        <v>Larger amount - likely includes agent commission</v>
      </c>
      <c r="O87" s="12" t="n">
        <f aca="false">IFERROR(INDEX('State Rules'!$C$5:$C$11,MATCH($B87,'State Rules'!$A$5:$A$11,0)),"")</f>
        <v>1</v>
      </c>
      <c r="P87" s="22" t="n">
        <f aca="false">IF(OR(O87="",E87=""),"",EDATE(E87,12*O87))</f>
        <v>46484</v>
      </c>
      <c r="Q87" s="22" t="n">
        <f aca="false">IF(E87="","",IFERROR(EDATE(E87,12*INDEX('State Rules'!$E$5:$E$11,MATCH($B87,'State Rules'!$A$5:$A$11,0))),""))</f>
        <v>47215</v>
      </c>
      <c r="R87" s="11" t="str">
        <f aca="false">IF(P87="","",IFERROR(IF(P87&lt;=INDEX('State Rules'!$I$5:$I$11,MATCH($B87,'State Rules'!$A$5:$A$11,0)),"Yes","No"),""))</f>
        <v>No</v>
      </c>
      <c r="S87" s="11" t="str">
        <f aca="false">IF(Q87="","",IFERROR(IF(Q87&lt;=INDEX('State Rules'!$I$5:$I$11,MATCH($B87,'State Rules'!$A$5:$A$11,0)),"Yes","No"),""))</f>
        <v>No</v>
      </c>
      <c r="T87" s="8"/>
      <c r="U87" s="8"/>
      <c r="V87" s="24"/>
      <c r="W87" s="24"/>
      <c r="X87" s="24"/>
      <c r="Y87" s="8"/>
      <c r="Z87" s="10" t="n">
        <f aca="false">IF(Q87="","",IF(Q87&lt;=$B$4,N(W87)+N(X87),0))</f>
        <v>0</v>
      </c>
      <c r="AA87" s="10" t="n">
        <f aca="false">IF(OR(LEFT(N87,6)="Larger",LEFT(N87,4)="Memo"),H87,0)</f>
        <v>999.5</v>
      </c>
      <c r="AB87" s="12" t="str">
        <f aca="false">IFERROR(INDEX('State Rules'!$M$5:$M$11,MATCH($B87,'State Rules'!$A$5:$A$11,0)),"")</f>
        <v>LONG</v>
      </c>
      <c r="AC87" s="22" t="n">
        <f aca="false">IF(AB87="SHORT",P87,IF(AB87="LONG",Q87,""))</f>
        <v>47215</v>
      </c>
      <c r="AD87" s="11" t="str">
        <f aca="false">IF(AB87="SHORT",R87,IF(AB87="LONG",S87,""))</f>
        <v>No</v>
      </c>
    </row>
    <row r="88" customFormat="false" ht="15" hidden="false" customHeight="false" outlineLevel="0" collapsed="false">
      <c r="A88" s="11" t="s">
        <v>40</v>
      </c>
      <c r="B88" s="12" t="str">
        <f aca="false">IF(U88&lt;&gt;"",U88,IFERROR(INDEX(Summary!$B$11:$B$18,MATCH($A88,Summary!$A$11:$A$18,0)),""))</f>
        <v>TX</v>
      </c>
      <c r="C88" s="11" t="s">
        <v>40</v>
      </c>
      <c r="D88" s="11" t="n">
        <v>52</v>
      </c>
      <c r="E88" s="22" t="n">
        <v>46146</v>
      </c>
      <c r="F88" s="11" t="s">
        <v>271</v>
      </c>
      <c r="G88" s="11"/>
      <c r="H88" s="10" t="n">
        <v>15450</v>
      </c>
      <c r="I88" s="11" t="s">
        <v>228</v>
      </c>
      <c r="J88" s="11" t="s">
        <v>101</v>
      </c>
      <c r="K88" s="23" t="n">
        <f aca="false">IF(E88="","",($B$4-E88)/365.25)</f>
        <v>0.424366872005476</v>
      </c>
      <c r="L88" s="11" t="str">
        <f aca="false">IF(K88="","no date",IF(K88&lt;1,"0-1 yrs",IF(K88&lt;2,"1-2 yrs",IF(K88&lt;3,"2-3 yrs",IF(K88&lt;5,"3-5 yrs","5+ yrs")))))</f>
        <v>0-1 yrs</v>
      </c>
      <c r="M88" s="11" t="s">
        <v>101</v>
      </c>
      <c r="N88" s="12" t="str">
        <f aca="false">IF(M88="Yes","Memo flag - not ours / unknown / hold: resolve",IF(OR(COUNTIF(Summary!$C$4:$R$4,H88)&gt;0,AND(A88="Philly",COUNTIF(Summary!$C$5:$R$5,H88)&gt;0),AND(A88="TUR",COUNTIF(Summary!$C$6:$R$6,H88)&gt;0),AND(A88="Leading Edge",COUNTIF(Summary!$C$7:$R$7,H88)&gt;0)),"Fee amount - presumed company revenue",IF(H88&lt;=Summary!$B$8,"Small amount - likely fee, review","Larger amount - likely includes agent commission")))</f>
        <v>Larger amount - likely includes agent commission</v>
      </c>
      <c r="O88" s="12" t="n">
        <f aca="false">IFERROR(INDEX('State Rules'!$C$5:$C$11,MATCH($B88,'State Rules'!$A$5:$A$11,0)),"")</f>
        <v>1</v>
      </c>
      <c r="P88" s="22" t="n">
        <f aca="false">IF(OR(O88="",E88=""),"",EDATE(E88,12*O88))</f>
        <v>46511</v>
      </c>
      <c r="Q88" s="22" t="n">
        <f aca="false">IF(E88="","",IFERROR(EDATE(E88,12*INDEX('State Rules'!$E$5:$E$11,MATCH($B88,'State Rules'!$A$5:$A$11,0))),""))</f>
        <v>47242</v>
      </c>
      <c r="R88" s="11" t="str">
        <f aca="false">IF(P88="","",IFERROR(IF(P88&lt;=INDEX('State Rules'!$I$5:$I$11,MATCH($B88,'State Rules'!$A$5:$A$11,0)),"Yes","No"),""))</f>
        <v>No</v>
      </c>
      <c r="S88" s="11" t="str">
        <f aca="false">IF(Q88="","",IFERROR(IF(Q88&lt;=INDEX('State Rules'!$I$5:$I$11,MATCH($B88,'State Rules'!$A$5:$A$11,0)),"Yes","No"),""))</f>
        <v>No</v>
      </c>
      <c r="T88" s="8"/>
      <c r="U88" s="8"/>
      <c r="V88" s="24"/>
      <c r="W88" s="24"/>
      <c r="X88" s="24"/>
      <c r="Y88" s="8"/>
      <c r="Z88" s="10" t="n">
        <f aca="false">IF(Q88="","",IF(Q88&lt;=$B$4,N(W88)+N(X88),0))</f>
        <v>0</v>
      </c>
      <c r="AA88" s="10" t="n">
        <f aca="false">IF(OR(LEFT(N88,6)="Larger",LEFT(N88,4)="Memo"),H88,0)</f>
        <v>15450</v>
      </c>
      <c r="AB88" s="12" t="str">
        <f aca="false">IFERROR(INDEX('State Rules'!$M$5:$M$11,MATCH($B88,'State Rules'!$A$5:$A$11,0)),"")</f>
        <v>LONG</v>
      </c>
      <c r="AC88" s="22" t="n">
        <f aca="false">IF(AB88="SHORT",P88,IF(AB88="LONG",Q88,""))</f>
        <v>47242</v>
      </c>
      <c r="AD88" s="11" t="str">
        <f aca="false">IF(AB88="SHORT",R88,IF(AB88="LONG",S88,""))</f>
        <v>No</v>
      </c>
    </row>
    <row r="89" customFormat="false" ht="15" hidden="false" customHeight="false" outlineLevel="0" collapsed="false">
      <c r="A89" s="11" t="s">
        <v>40</v>
      </c>
      <c r="B89" s="12" t="str">
        <f aca="false">IF(U89&lt;&gt;"",U89,IFERROR(INDEX(Summary!$B$11:$B$18,MATCH($A89,Summary!$A$11:$A$18,0)),""))</f>
        <v>TX</v>
      </c>
      <c r="C89" s="11" t="s">
        <v>40</v>
      </c>
      <c r="D89" s="11" t="n">
        <v>53</v>
      </c>
      <c r="E89" s="22" t="n">
        <v>46162</v>
      </c>
      <c r="F89" s="11" t="s">
        <v>272</v>
      </c>
      <c r="G89" s="11"/>
      <c r="H89" s="10" t="n">
        <v>644</v>
      </c>
      <c r="I89" s="11" t="s">
        <v>273</v>
      </c>
      <c r="J89" s="11" t="s">
        <v>101</v>
      </c>
      <c r="K89" s="23" t="n">
        <f aca="false">IF(E89="","",($B$4-E89)/365.25)</f>
        <v>0.380561259411362</v>
      </c>
      <c r="L89" s="11" t="str">
        <f aca="false">IF(K89="","no date",IF(K89&lt;1,"0-1 yrs",IF(K89&lt;2,"1-2 yrs",IF(K89&lt;3,"2-3 yrs",IF(K89&lt;5,"3-5 yrs","5+ yrs")))))</f>
        <v>0-1 yrs</v>
      </c>
      <c r="M89" s="11" t="s">
        <v>101</v>
      </c>
      <c r="N89" s="12" t="str">
        <f aca="false">IF(M89="Yes","Memo flag - not ours / unknown / hold: resolve",IF(OR(COUNTIF(Summary!$C$4:$R$4,H89)&gt;0,AND(A89="Philly",COUNTIF(Summary!$C$5:$R$5,H89)&gt;0),AND(A89="TUR",COUNTIF(Summary!$C$6:$R$6,H89)&gt;0),AND(A89="Leading Edge",COUNTIF(Summary!$C$7:$R$7,H89)&gt;0)),"Fee amount - presumed company revenue",IF(H89&lt;=Summary!$B$8,"Small amount - likely fee, review","Larger amount - likely includes agent commission")))</f>
        <v>Fee amount - presumed company revenue</v>
      </c>
      <c r="O89" s="12" t="n">
        <f aca="false">IFERROR(INDEX('State Rules'!$C$5:$C$11,MATCH($B89,'State Rules'!$A$5:$A$11,0)),"")</f>
        <v>1</v>
      </c>
      <c r="P89" s="22" t="n">
        <f aca="false">IF(OR(O89="",E89=""),"",EDATE(E89,12*O89))</f>
        <v>46527</v>
      </c>
      <c r="Q89" s="22" t="n">
        <f aca="false">IF(E89="","",IFERROR(EDATE(E89,12*INDEX('State Rules'!$E$5:$E$11,MATCH($B89,'State Rules'!$A$5:$A$11,0))),""))</f>
        <v>47258</v>
      </c>
      <c r="R89" s="11" t="str">
        <f aca="false">IF(P89="","",IFERROR(IF(P89&lt;=INDEX('State Rules'!$I$5:$I$11,MATCH($B89,'State Rules'!$A$5:$A$11,0)),"Yes","No"),""))</f>
        <v>No</v>
      </c>
      <c r="S89" s="11" t="str">
        <f aca="false">IF(Q89="","",IFERROR(IF(Q89&lt;=INDEX('State Rules'!$I$5:$I$11,MATCH($B89,'State Rules'!$A$5:$A$11,0)),"Yes","No"),""))</f>
        <v>No</v>
      </c>
      <c r="T89" s="8"/>
      <c r="U89" s="8"/>
      <c r="V89" s="24"/>
      <c r="W89" s="24"/>
      <c r="X89" s="24"/>
      <c r="Y89" s="8"/>
      <c r="Z89" s="10" t="n">
        <f aca="false">IF(Q89="","",IF(Q89&lt;=$B$4,N(W89)+N(X89),0))</f>
        <v>0</v>
      </c>
      <c r="AA89" s="10" t="n">
        <f aca="false">IF(OR(LEFT(N89,6)="Larger",LEFT(N89,4)="Memo"),H89,0)</f>
        <v>0</v>
      </c>
      <c r="AB89" s="12" t="str">
        <f aca="false">IFERROR(INDEX('State Rules'!$M$5:$M$11,MATCH($B89,'State Rules'!$A$5:$A$11,0)),"")</f>
        <v>LONG</v>
      </c>
      <c r="AC89" s="22" t="n">
        <f aca="false">IF(AB89="SHORT",P89,IF(AB89="LONG",Q89,""))</f>
        <v>47258</v>
      </c>
      <c r="AD89" s="11" t="str">
        <f aca="false">IF(AB89="SHORT",R89,IF(AB89="LONG",S89,""))</f>
        <v>No</v>
      </c>
    </row>
    <row r="90" customFormat="false" ht="15" hidden="false" customHeight="false" outlineLevel="0" collapsed="false">
      <c r="A90" s="11" t="s">
        <v>40</v>
      </c>
      <c r="B90" s="12" t="str">
        <f aca="false">IF(U90&lt;&gt;"",U90,IFERROR(INDEX(Summary!$B$11:$B$18,MATCH($A90,Summary!$A$11:$A$18,0)),""))</f>
        <v>TX</v>
      </c>
      <c r="C90" s="11" t="s">
        <v>40</v>
      </c>
      <c r="D90" s="11" t="n">
        <v>54</v>
      </c>
      <c r="E90" s="22" t="n">
        <v>46188</v>
      </c>
      <c r="F90" s="11" t="s">
        <v>274</v>
      </c>
      <c r="G90" s="11" t="s">
        <v>275</v>
      </c>
      <c r="H90" s="10" t="n">
        <v>875</v>
      </c>
      <c r="I90" s="11" t="s">
        <v>276</v>
      </c>
      <c r="J90" s="11" t="s">
        <v>101</v>
      </c>
      <c r="K90" s="23" t="n">
        <f aca="false">IF(E90="","",($B$4-E90)/365.25)</f>
        <v>0.309377138945927</v>
      </c>
      <c r="L90" s="11" t="str">
        <f aca="false">IF(K90="","no date",IF(K90&lt;1,"0-1 yrs",IF(K90&lt;2,"1-2 yrs",IF(K90&lt;3,"2-3 yrs",IF(K90&lt;5,"3-5 yrs","5+ yrs")))))</f>
        <v>0-1 yrs</v>
      </c>
      <c r="M90" s="11" t="s">
        <v>101</v>
      </c>
      <c r="N90" s="12" t="str">
        <f aca="false">IF(M90="Yes","Memo flag - not ours / unknown / hold: resolve",IF(OR(COUNTIF(Summary!$C$4:$R$4,H90)&gt;0,AND(A90="Philly",COUNTIF(Summary!$C$5:$R$5,H90)&gt;0),AND(A90="TUR",COUNTIF(Summary!$C$6:$R$6,H90)&gt;0),AND(A90="Leading Edge",COUNTIF(Summary!$C$7:$R$7,H90)&gt;0)),"Fee amount - presumed company revenue",IF(H90&lt;=Summary!$B$8,"Small amount - likely fee, review","Larger amount - likely includes agent commission")))</f>
        <v>Larger amount - likely includes agent commission</v>
      </c>
      <c r="O90" s="12" t="n">
        <f aca="false">IFERROR(INDEX('State Rules'!$C$5:$C$11,MATCH($B90,'State Rules'!$A$5:$A$11,0)),"")</f>
        <v>1</v>
      </c>
      <c r="P90" s="22" t="n">
        <f aca="false">IF(OR(O90="",E90=""),"",EDATE(E90,12*O90))</f>
        <v>46553</v>
      </c>
      <c r="Q90" s="22" t="n">
        <f aca="false">IF(E90="","",IFERROR(EDATE(E90,12*INDEX('State Rules'!$E$5:$E$11,MATCH($B90,'State Rules'!$A$5:$A$11,0))),""))</f>
        <v>47284</v>
      </c>
      <c r="R90" s="11" t="str">
        <f aca="false">IF(P90="","",IFERROR(IF(P90&lt;=INDEX('State Rules'!$I$5:$I$11,MATCH($B90,'State Rules'!$A$5:$A$11,0)),"Yes","No"),""))</f>
        <v>No</v>
      </c>
      <c r="S90" s="11" t="str">
        <f aca="false">IF(Q90="","",IFERROR(IF(Q90&lt;=INDEX('State Rules'!$I$5:$I$11,MATCH($B90,'State Rules'!$A$5:$A$11,0)),"Yes","No"),""))</f>
        <v>No</v>
      </c>
      <c r="T90" s="8"/>
      <c r="U90" s="8"/>
      <c r="V90" s="24"/>
      <c r="W90" s="24"/>
      <c r="X90" s="24"/>
      <c r="Y90" s="8"/>
      <c r="Z90" s="10" t="n">
        <f aca="false">IF(Q90="","",IF(Q90&lt;=$B$4,N(W90)+N(X90),0))</f>
        <v>0</v>
      </c>
      <c r="AA90" s="10" t="n">
        <f aca="false">IF(OR(LEFT(N90,6)="Larger",LEFT(N90,4)="Memo"),H90,0)</f>
        <v>875</v>
      </c>
      <c r="AB90" s="12" t="str">
        <f aca="false">IFERROR(INDEX('State Rules'!$M$5:$M$11,MATCH($B90,'State Rules'!$A$5:$A$11,0)),"")</f>
        <v>LONG</v>
      </c>
      <c r="AC90" s="22" t="n">
        <f aca="false">IF(AB90="SHORT",P90,IF(AB90="LONG",Q90,""))</f>
        <v>47284</v>
      </c>
      <c r="AD90" s="11" t="str">
        <f aca="false">IF(AB90="SHORT",R90,IF(AB90="LONG",S90,""))</f>
        <v>No</v>
      </c>
    </row>
    <row r="91" customFormat="false" ht="15" hidden="false" customHeight="false" outlineLevel="0" collapsed="false">
      <c r="A91" s="11" t="s">
        <v>40</v>
      </c>
      <c r="B91" s="12" t="str">
        <f aca="false">IF(U91&lt;&gt;"",U91,IFERROR(INDEX(Summary!$B$11:$B$18,MATCH($A91,Summary!$A$11:$A$18,0)),""))</f>
        <v>TX</v>
      </c>
      <c r="C91" s="11" t="s">
        <v>40</v>
      </c>
      <c r="D91" s="11" t="n">
        <v>55</v>
      </c>
      <c r="E91" s="22" t="n">
        <v>46197</v>
      </c>
      <c r="F91" s="11" t="s">
        <v>277</v>
      </c>
      <c r="G91" s="11" t="s">
        <v>278</v>
      </c>
      <c r="H91" s="10" t="n">
        <v>922.5</v>
      </c>
      <c r="I91" s="11" t="s">
        <v>279</v>
      </c>
      <c r="J91" s="11" t="s">
        <v>101</v>
      </c>
      <c r="K91" s="23" t="n">
        <f aca="false">IF(E91="","",($B$4-E91)/365.25)</f>
        <v>0.284736481861739</v>
      </c>
      <c r="L91" s="11" t="str">
        <f aca="false">IF(K91="","no date",IF(K91&lt;1,"0-1 yrs",IF(K91&lt;2,"1-2 yrs",IF(K91&lt;3,"2-3 yrs",IF(K91&lt;5,"3-5 yrs","5+ yrs")))))</f>
        <v>0-1 yrs</v>
      </c>
      <c r="M91" s="11" t="s">
        <v>101</v>
      </c>
      <c r="N91" s="12" t="str">
        <f aca="false">IF(M91="Yes","Memo flag - not ours / unknown / hold: resolve",IF(OR(COUNTIF(Summary!$C$4:$R$4,H91)&gt;0,AND(A91="Philly",COUNTIF(Summary!$C$5:$R$5,H91)&gt;0),AND(A91="TUR",COUNTIF(Summary!$C$6:$R$6,H91)&gt;0),AND(A91="Leading Edge",COUNTIF(Summary!$C$7:$R$7,H91)&gt;0)),"Fee amount - presumed company revenue",IF(H91&lt;=Summary!$B$8,"Small amount - likely fee, review","Larger amount - likely includes agent commission")))</f>
        <v>Larger amount - likely includes agent commission</v>
      </c>
      <c r="O91" s="12" t="n">
        <f aca="false">IFERROR(INDEX('State Rules'!$C$5:$C$11,MATCH($B91,'State Rules'!$A$5:$A$11,0)),"")</f>
        <v>1</v>
      </c>
      <c r="P91" s="22" t="n">
        <f aca="false">IF(OR(O91="",E91=""),"",EDATE(E91,12*O91))</f>
        <v>46562</v>
      </c>
      <c r="Q91" s="22" t="n">
        <f aca="false">IF(E91="","",IFERROR(EDATE(E91,12*INDEX('State Rules'!$E$5:$E$11,MATCH($B91,'State Rules'!$A$5:$A$11,0))),""))</f>
        <v>47293</v>
      </c>
      <c r="R91" s="11" t="str">
        <f aca="false">IF(P91="","",IFERROR(IF(P91&lt;=INDEX('State Rules'!$I$5:$I$11,MATCH($B91,'State Rules'!$A$5:$A$11,0)),"Yes","No"),""))</f>
        <v>No</v>
      </c>
      <c r="S91" s="11" t="str">
        <f aca="false">IF(Q91="","",IFERROR(IF(Q91&lt;=INDEX('State Rules'!$I$5:$I$11,MATCH($B91,'State Rules'!$A$5:$A$11,0)),"Yes","No"),""))</f>
        <v>No</v>
      </c>
      <c r="T91" s="8"/>
      <c r="U91" s="8"/>
      <c r="V91" s="24"/>
      <c r="W91" s="24"/>
      <c r="X91" s="24"/>
      <c r="Y91" s="8"/>
      <c r="Z91" s="10" t="n">
        <f aca="false">IF(Q91="","",IF(Q91&lt;=$B$4,N(W91)+N(X91),0))</f>
        <v>0</v>
      </c>
      <c r="AA91" s="10" t="n">
        <f aca="false">IF(OR(LEFT(N91,6)="Larger",LEFT(N91,4)="Memo"),H91,0)</f>
        <v>922.5</v>
      </c>
      <c r="AB91" s="12" t="str">
        <f aca="false">IFERROR(INDEX('State Rules'!$M$5:$M$11,MATCH($B91,'State Rules'!$A$5:$A$11,0)),"")</f>
        <v>LONG</v>
      </c>
      <c r="AC91" s="22" t="n">
        <f aca="false">IF(AB91="SHORT",P91,IF(AB91="LONG",Q91,""))</f>
        <v>47293</v>
      </c>
      <c r="AD91" s="11" t="str">
        <f aca="false">IF(AB91="SHORT",R91,IF(AB91="LONG",S91,""))</f>
        <v>No</v>
      </c>
    </row>
    <row r="92" customFormat="false" ht="15" hidden="false" customHeight="false" outlineLevel="0" collapsed="false">
      <c r="A92" s="11" t="s">
        <v>40</v>
      </c>
      <c r="B92" s="12" t="str">
        <f aca="false">IF(U92&lt;&gt;"",U92,IFERROR(INDEX(Summary!$B$11:$B$18,MATCH($A92,Summary!$A$11:$A$18,0)),""))</f>
        <v>TX</v>
      </c>
      <c r="C92" s="11" t="s">
        <v>40</v>
      </c>
      <c r="D92" s="11" t="n">
        <v>56</v>
      </c>
      <c r="E92" s="22" t="n">
        <v>46202</v>
      </c>
      <c r="F92" s="11" t="s">
        <v>280</v>
      </c>
      <c r="G92" s="11" t="s">
        <v>281</v>
      </c>
      <c r="H92" s="10" t="n">
        <v>1000</v>
      </c>
      <c r="I92" s="11"/>
      <c r="J92" s="11" t="s">
        <v>101</v>
      </c>
      <c r="K92" s="23" t="n">
        <f aca="false">IF(E92="","",($B$4-E92)/365.25)</f>
        <v>0.271047227926078</v>
      </c>
      <c r="L92" s="11" t="str">
        <f aca="false">IF(K92="","no date",IF(K92&lt;1,"0-1 yrs",IF(K92&lt;2,"1-2 yrs",IF(K92&lt;3,"2-3 yrs",IF(K92&lt;5,"3-5 yrs","5+ yrs")))))</f>
        <v>0-1 yrs</v>
      </c>
      <c r="M92" s="11" t="s">
        <v>101</v>
      </c>
      <c r="N92" s="12" t="str">
        <f aca="false">IF(M92="Yes","Memo flag - not ours / unknown / hold: resolve",IF(OR(COUNTIF(Summary!$C$4:$R$4,H92)&gt;0,AND(A92="Philly",COUNTIF(Summary!$C$5:$R$5,H92)&gt;0),AND(A92="TUR",COUNTIF(Summary!$C$6:$R$6,H92)&gt;0),AND(A92="Leading Edge",COUNTIF(Summary!$C$7:$R$7,H92)&gt;0)),"Fee amount - presumed company revenue",IF(H92&lt;=Summary!$B$8,"Small amount - likely fee, review","Larger amount - likely includes agent commission")))</f>
        <v>Larger amount - likely includes agent commission</v>
      </c>
      <c r="O92" s="12" t="n">
        <f aca="false">IFERROR(INDEX('State Rules'!$C$5:$C$11,MATCH($B92,'State Rules'!$A$5:$A$11,0)),"")</f>
        <v>1</v>
      </c>
      <c r="P92" s="22" t="n">
        <f aca="false">IF(OR(O92="",E92=""),"",EDATE(E92,12*O92))</f>
        <v>46567</v>
      </c>
      <c r="Q92" s="22" t="n">
        <f aca="false">IF(E92="","",IFERROR(EDATE(E92,12*INDEX('State Rules'!$E$5:$E$11,MATCH($B92,'State Rules'!$A$5:$A$11,0))),""))</f>
        <v>47298</v>
      </c>
      <c r="R92" s="11" t="str">
        <f aca="false">IF(P92="","",IFERROR(IF(P92&lt;=INDEX('State Rules'!$I$5:$I$11,MATCH($B92,'State Rules'!$A$5:$A$11,0)),"Yes","No"),""))</f>
        <v>No</v>
      </c>
      <c r="S92" s="11" t="str">
        <f aca="false">IF(Q92="","",IFERROR(IF(Q92&lt;=INDEX('State Rules'!$I$5:$I$11,MATCH($B92,'State Rules'!$A$5:$A$11,0)),"Yes","No"),""))</f>
        <v>No</v>
      </c>
      <c r="T92" s="8"/>
      <c r="U92" s="8"/>
      <c r="V92" s="24"/>
      <c r="W92" s="24"/>
      <c r="X92" s="24"/>
      <c r="Y92" s="8"/>
      <c r="Z92" s="10" t="n">
        <f aca="false">IF(Q92="","",IF(Q92&lt;=$B$4,N(W92)+N(X92),0))</f>
        <v>0</v>
      </c>
      <c r="AA92" s="10" t="n">
        <f aca="false">IF(OR(LEFT(N92,6)="Larger",LEFT(N92,4)="Memo"),H92,0)</f>
        <v>1000</v>
      </c>
      <c r="AB92" s="12" t="str">
        <f aca="false">IFERROR(INDEX('State Rules'!$M$5:$M$11,MATCH($B92,'State Rules'!$A$5:$A$11,0)),"")</f>
        <v>LONG</v>
      </c>
      <c r="AC92" s="22" t="n">
        <f aca="false">IF(AB92="SHORT",P92,IF(AB92="LONG",Q92,""))</f>
        <v>47298</v>
      </c>
      <c r="AD92" s="11" t="str">
        <f aca="false">IF(AB92="SHORT",R92,IF(AB92="LONG",S92,""))</f>
        <v>No</v>
      </c>
    </row>
    <row r="93" customFormat="false" ht="15" hidden="false" customHeight="false" outlineLevel="0" collapsed="false">
      <c r="A93" s="11" t="s">
        <v>40</v>
      </c>
      <c r="B93" s="12" t="str">
        <f aca="false">IF(U93&lt;&gt;"",U93,IFERROR(INDEX(Summary!$B$11:$B$18,MATCH($A93,Summary!$A$11:$A$18,0)),""))</f>
        <v>TX</v>
      </c>
      <c r="C93" s="11" t="s">
        <v>40</v>
      </c>
      <c r="D93" s="11" t="n">
        <v>57</v>
      </c>
      <c r="E93" s="22" t="n">
        <v>46203</v>
      </c>
      <c r="F93" s="11" t="s">
        <v>282</v>
      </c>
      <c r="G93" s="11" t="s">
        <v>283</v>
      </c>
      <c r="H93" s="10" t="n">
        <v>1700</v>
      </c>
      <c r="I93" s="11" t="s">
        <v>284</v>
      </c>
      <c r="J93" s="11" t="s">
        <v>101</v>
      </c>
      <c r="K93" s="23" t="n">
        <f aca="false">IF(E93="","",($B$4-E93)/365.25)</f>
        <v>0.268309377138946</v>
      </c>
      <c r="L93" s="11" t="str">
        <f aca="false">IF(K93="","no date",IF(K93&lt;1,"0-1 yrs",IF(K93&lt;2,"1-2 yrs",IF(K93&lt;3,"2-3 yrs",IF(K93&lt;5,"3-5 yrs","5+ yrs")))))</f>
        <v>0-1 yrs</v>
      </c>
      <c r="M93" s="11" t="s">
        <v>101</v>
      </c>
      <c r="N93" s="12" t="str">
        <f aca="false">IF(M93="Yes","Memo flag - not ours / unknown / hold: resolve",IF(OR(COUNTIF(Summary!$C$4:$R$4,H93)&gt;0,AND(A93="Philly",COUNTIF(Summary!$C$5:$R$5,H93)&gt;0),AND(A93="TUR",COUNTIF(Summary!$C$6:$R$6,H93)&gt;0),AND(A93="Leading Edge",COUNTIF(Summary!$C$7:$R$7,H93)&gt;0)),"Fee amount - presumed company revenue",IF(H93&lt;=Summary!$B$8,"Small amount - likely fee, review","Larger amount - likely includes agent commission")))</f>
        <v>Larger amount - likely includes agent commission</v>
      </c>
      <c r="O93" s="12" t="n">
        <f aca="false">IFERROR(INDEX('State Rules'!$C$5:$C$11,MATCH($B93,'State Rules'!$A$5:$A$11,0)),"")</f>
        <v>1</v>
      </c>
      <c r="P93" s="22" t="n">
        <f aca="false">IF(OR(O93="",E93=""),"",EDATE(E93,12*O93))</f>
        <v>46568</v>
      </c>
      <c r="Q93" s="22" t="n">
        <f aca="false">IF(E93="","",IFERROR(EDATE(E93,12*INDEX('State Rules'!$E$5:$E$11,MATCH($B93,'State Rules'!$A$5:$A$11,0))),""))</f>
        <v>47299</v>
      </c>
      <c r="R93" s="11" t="str">
        <f aca="false">IF(P93="","",IFERROR(IF(P93&lt;=INDEX('State Rules'!$I$5:$I$11,MATCH($B93,'State Rules'!$A$5:$A$11,0)),"Yes","No"),""))</f>
        <v>No</v>
      </c>
      <c r="S93" s="11" t="str">
        <f aca="false">IF(Q93="","",IFERROR(IF(Q93&lt;=INDEX('State Rules'!$I$5:$I$11,MATCH($B93,'State Rules'!$A$5:$A$11,0)),"Yes","No"),""))</f>
        <v>No</v>
      </c>
      <c r="T93" s="8"/>
      <c r="U93" s="8"/>
      <c r="V93" s="24"/>
      <c r="W93" s="24"/>
      <c r="X93" s="24"/>
      <c r="Y93" s="8"/>
      <c r="Z93" s="10" t="n">
        <f aca="false">IF(Q93="","",IF(Q93&lt;=$B$4,N(W93)+N(X93),0))</f>
        <v>0</v>
      </c>
      <c r="AA93" s="10" t="n">
        <f aca="false">IF(OR(LEFT(N93,6)="Larger",LEFT(N93,4)="Memo"),H93,0)</f>
        <v>1700</v>
      </c>
      <c r="AB93" s="12" t="str">
        <f aca="false">IFERROR(INDEX('State Rules'!$M$5:$M$11,MATCH($B93,'State Rules'!$A$5:$A$11,0)),"")</f>
        <v>LONG</v>
      </c>
      <c r="AC93" s="22" t="n">
        <f aca="false">IF(AB93="SHORT",P93,IF(AB93="LONG",Q93,""))</f>
        <v>47299</v>
      </c>
      <c r="AD93" s="11" t="str">
        <f aca="false">IF(AB93="SHORT",R93,IF(AB93="LONG",S93,""))</f>
        <v>No</v>
      </c>
    </row>
    <row r="94" customFormat="false" ht="15" hidden="false" customHeight="false" outlineLevel="0" collapsed="false">
      <c r="A94" s="11" t="s">
        <v>40</v>
      </c>
      <c r="B94" s="12" t="str">
        <f aca="false">IF(U94&lt;&gt;"",U94,IFERROR(INDEX(Summary!$B$11:$B$18,MATCH($A94,Summary!$A$11:$A$18,0)),""))</f>
        <v>TX</v>
      </c>
      <c r="C94" s="11" t="s">
        <v>40</v>
      </c>
      <c r="D94" s="11" t="n">
        <v>58</v>
      </c>
      <c r="E94" s="22" t="n">
        <v>46204</v>
      </c>
      <c r="F94" s="11" t="s">
        <v>285</v>
      </c>
      <c r="G94" s="11" t="s">
        <v>258</v>
      </c>
      <c r="H94" s="10" t="n">
        <v>644</v>
      </c>
      <c r="I94" s="11" t="s">
        <v>286</v>
      </c>
      <c r="J94" s="11" t="s">
        <v>101</v>
      </c>
      <c r="K94" s="23" t="n">
        <f aca="false">IF(E94="","",($B$4-E94)/365.25)</f>
        <v>0.265571526351814</v>
      </c>
      <c r="L94" s="11" t="str">
        <f aca="false">IF(K94="","no date",IF(K94&lt;1,"0-1 yrs",IF(K94&lt;2,"1-2 yrs",IF(K94&lt;3,"2-3 yrs",IF(K94&lt;5,"3-5 yrs","5+ yrs")))))</f>
        <v>0-1 yrs</v>
      </c>
      <c r="M94" s="11" t="s">
        <v>101</v>
      </c>
      <c r="N94" s="12" t="str">
        <f aca="false">IF(M94="Yes","Memo flag - not ours / unknown / hold: resolve",IF(OR(COUNTIF(Summary!$C$4:$R$4,H94)&gt;0,AND(A94="Philly",COUNTIF(Summary!$C$5:$R$5,H94)&gt;0),AND(A94="TUR",COUNTIF(Summary!$C$6:$R$6,H94)&gt;0),AND(A94="Leading Edge",COUNTIF(Summary!$C$7:$R$7,H94)&gt;0)),"Fee amount - presumed company revenue",IF(H94&lt;=Summary!$B$8,"Small amount - likely fee, review","Larger amount - likely includes agent commission")))</f>
        <v>Fee amount - presumed company revenue</v>
      </c>
      <c r="O94" s="12" t="n">
        <f aca="false">IFERROR(INDEX('State Rules'!$C$5:$C$11,MATCH($B94,'State Rules'!$A$5:$A$11,0)),"")</f>
        <v>1</v>
      </c>
      <c r="P94" s="22" t="n">
        <f aca="false">IF(OR(O94="",E94=""),"",EDATE(E94,12*O94))</f>
        <v>46569</v>
      </c>
      <c r="Q94" s="22" t="n">
        <f aca="false">IF(E94="","",IFERROR(EDATE(E94,12*INDEX('State Rules'!$E$5:$E$11,MATCH($B94,'State Rules'!$A$5:$A$11,0))),""))</f>
        <v>47300</v>
      </c>
      <c r="R94" s="11" t="str">
        <f aca="false">IF(P94="","",IFERROR(IF(P94&lt;=INDEX('State Rules'!$I$5:$I$11,MATCH($B94,'State Rules'!$A$5:$A$11,0)),"Yes","No"),""))</f>
        <v>No</v>
      </c>
      <c r="S94" s="11" t="str">
        <f aca="false">IF(Q94="","",IFERROR(IF(Q94&lt;=INDEX('State Rules'!$I$5:$I$11,MATCH($B94,'State Rules'!$A$5:$A$11,0)),"Yes","No"),""))</f>
        <v>No</v>
      </c>
      <c r="T94" s="8"/>
      <c r="U94" s="8"/>
      <c r="V94" s="24"/>
      <c r="W94" s="24"/>
      <c r="X94" s="24"/>
      <c r="Y94" s="8"/>
      <c r="Z94" s="10" t="n">
        <f aca="false">IF(Q94="","",IF(Q94&lt;=$B$4,N(W94)+N(X94),0))</f>
        <v>0</v>
      </c>
      <c r="AA94" s="10" t="n">
        <f aca="false">IF(OR(LEFT(N94,6)="Larger",LEFT(N94,4)="Memo"),H94,0)</f>
        <v>0</v>
      </c>
      <c r="AB94" s="12" t="str">
        <f aca="false">IFERROR(INDEX('State Rules'!$M$5:$M$11,MATCH($B94,'State Rules'!$A$5:$A$11,0)),"")</f>
        <v>LONG</v>
      </c>
      <c r="AC94" s="22" t="n">
        <f aca="false">IF(AB94="SHORT",P94,IF(AB94="LONG",Q94,""))</f>
        <v>47300</v>
      </c>
      <c r="AD94" s="11" t="str">
        <f aca="false">IF(AB94="SHORT",R94,IF(AB94="LONG",S94,""))</f>
        <v>No</v>
      </c>
    </row>
    <row r="95" customFormat="false" ht="15" hidden="false" customHeight="false" outlineLevel="0" collapsed="false">
      <c r="A95" s="11" t="s">
        <v>40</v>
      </c>
      <c r="B95" s="12" t="str">
        <f aca="false">IF(U95&lt;&gt;"",U95,IFERROR(INDEX(Summary!$B$11:$B$18,MATCH($A95,Summary!$A$11:$A$18,0)),""))</f>
        <v>TX</v>
      </c>
      <c r="C95" s="11" t="s">
        <v>40</v>
      </c>
      <c r="D95" s="11" t="n">
        <v>59</v>
      </c>
      <c r="E95" s="22" t="n">
        <v>46224</v>
      </c>
      <c r="F95" s="11" t="s">
        <v>287</v>
      </c>
      <c r="G95" s="11" t="s">
        <v>288</v>
      </c>
      <c r="H95" s="10" t="n">
        <v>495</v>
      </c>
      <c r="I95" s="11" t="s">
        <v>289</v>
      </c>
      <c r="J95" s="11" t="s">
        <v>101</v>
      </c>
      <c r="K95" s="23" t="n">
        <f aca="false">IF(E95="","",($B$4-E95)/365.25)</f>
        <v>0.210814510609172</v>
      </c>
      <c r="L95" s="11" t="str">
        <f aca="false">IF(K95="","no date",IF(K95&lt;1,"0-1 yrs",IF(K95&lt;2,"1-2 yrs",IF(K95&lt;3,"2-3 yrs",IF(K95&lt;5,"3-5 yrs","5+ yrs")))))</f>
        <v>0-1 yrs</v>
      </c>
      <c r="M95" s="11" t="s">
        <v>101</v>
      </c>
      <c r="N95" s="12" t="str">
        <f aca="false">IF(M95="Yes","Memo flag - not ours / unknown / hold: resolve",IF(OR(COUNTIF(Summary!$C$4:$R$4,H95)&gt;0,AND(A95="Philly",COUNTIF(Summary!$C$5:$R$5,H95)&gt;0),AND(A95="TUR",COUNTIF(Summary!$C$6:$R$6,H95)&gt;0),AND(A95="Leading Edge",COUNTIF(Summary!$C$7:$R$7,H95)&gt;0)),"Fee amount - presumed company revenue",IF(H95&lt;=Summary!$B$8,"Small amount - likely fee, review","Larger amount - likely includes agent commission")))</f>
        <v>Fee amount - presumed company revenue</v>
      </c>
      <c r="O95" s="12" t="n">
        <f aca="false">IFERROR(INDEX('State Rules'!$C$5:$C$11,MATCH($B95,'State Rules'!$A$5:$A$11,0)),"")</f>
        <v>1</v>
      </c>
      <c r="P95" s="22" t="n">
        <f aca="false">IF(OR(O95="",E95=""),"",EDATE(E95,12*O95))</f>
        <v>46589</v>
      </c>
      <c r="Q95" s="22" t="n">
        <f aca="false">IF(E95="","",IFERROR(EDATE(E95,12*INDEX('State Rules'!$E$5:$E$11,MATCH($B95,'State Rules'!$A$5:$A$11,0))),""))</f>
        <v>47320</v>
      </c>
      <c r="R95" s="11" t="str">
        <f aca="false">IF(P95="","",IFERROR(IF(P95&lt;=INDEX('State Rules'!$I$5:$I$11,MATCH($B95,'State Rules'!$A$5:$A$11,0)),"Yes","No"),""))</f>
        <v>No</v>
      </c>
      <c r="S95" s="11" t="str">
        <f aca="false">IF(Q95="","",IFERROR(IF(Q95&lt;=INDEX('State Rules'!$I$5:$I$11,MATCH($B95,'State Rules'!$A$5:$A$11,0)),"Yes","No"),""))</f>
        <v>No</v>
      </c>
      <c r="T95" s="8"/>
      <c r="U95" s="8"/>
      <c r="V95" s="24"/>
      <c r="W95" s="24"/>
      <c r="X95" s="24"/>
      <c r="Y95" s="8"/>
      <c r="Z95" s="10" t="n">
        <f aca="false">IF(Q95="","",IF(Q95&lt;=$B$4,N(W95)+N(X95),0))</f>
        <v>0</v>
      </c>
      <c r="AA95" s="10" t="n">
        <f aca="false">IF(OR(LEFT(N95,6)="Larger",LEFT(N95,4)="Memo"),H95,0)</f>
        <v>0</v>
      </c>
      <c r="AB95" s="12" t="str">
        <f aca="false">IFERROR(INDEX('State Rules'!$M$5:$M$11,MATCH($B95,'State Rules'!$A$5:$A$11,0)),"")</f>
        <v>LONG</v>
      </c>
      <c r="AC95" s="22" t="n">
        <f aca="false">IF(AB95="SHORT",P95,IF(AB95="LONG",Q95,""))</f>
        <v>47320</v>
      </c>
      <c r="AD95" s="11" t="str">
        <f aca="false">IF(AB95="SHORT",R95,IF(AB95="LONG",S95,""))</f>
        <v>No</v>
      </c>
    </row>
    <row r="96" customFormat="false" ht="15" hidden="false" customHeight="false" outlineLevel="0" collapsed="false">
      <c r="A96" s="11" t="s">
        <v>40</v>
      </c>
      <c r="B96" s="12" t="str">
        <f aca="false">IF(U96&lt;&gt;"",U96,IFERROR(INDEX(Summary!$B$11:$B$18,MATCH($A96,Summary!$A$11:$A$18,0)),""))</f>
        <v>TX</v>
      </c>
      <c r="C96" s="11" t="s">
        <v>40</v>
      </c>
      <c r="D96" s="11" t="n">
        <v>60</v>
      </c>
      <c r="E96" s="22" t="n">
        <v>46239</v>
      </c>
      <c r="F96" s="11"/>
      <c r="G96" s="11"/>
      <c r="H96" s="10" t="n">
        <v>795</v>
      </c>
      <c r="I96" s="11"/>
      <c r="J96" s="11" t="s">
        <v>101</v>
      </c>
      <c r="K96" s="23" t="n">
        <f aca="false">IF(E96="","",($B$4-E96)/365.25)</f>
        <v>0.16974674880219</v>
      </c>
      <c r="L96" s="11" t="str">
        <f aca="false">IF(K96="","no date",IF(K96&lt;1,"0-1 yrs",IF(K96&lt;2,"1-2 yrs",IF(K96&lt;3,"2-3 yrs",IF(K96&lt;5,"3-5 yrs","5+ yrs")))))</f>
        <v>0-1 yrs</v>
      </c>
      <c r="M96" s="11" t="s">
        <v>101</v>
      </c>
      <c r="N96" s="12" t="str">
        <f aca="false">IF(M96="Yes","Memo flag - not ours / unknown / hold: resolve",IF(OR(COUNTIF(Summary!$C$4:$R$4,H96)&gt;0,AND(A96="Philly",COUNTIF(Summary!$C$5:$R$5,H96)&gt;0),AND(A96="TUR",COUNTIF(Summary!$C$6:$R$6,H96)&gt;0),AND(A96="Leading Edge",COUNTIF(Summary!$C$7:$R$7,H96)&gt;0)),"Fee amount - presumed company revenue",IF(H96&lt;=Summary!$B$8,"Small amount - likely fee, review","Larger amount - likely includes agent commission")))</f>
        <v>Larger amount - likely includes agent commission</v>
      </c>
      <c r="O96" s="12" t="n">
        <f aca="false">IFERROR(INDEX('State Rules'!$C$5:$C$11,MATCH($B96,'State Rules'!$A$5:$A$11,0)),"")</f>
        <v>1</v>
      </c>
      <c r="P96" s="22" t="n">
        <f aca="false">IF(OR(O96="",E96=""),"",EDATE(E96,12*O96))</f>
        <v>46604</v>
      </c>
      <c r="Q96" s="22" t="n">
        <f aca="false">IF(E96="","",IFERROR(EDATE(E96,12*INDEX('State Rules'!$E$5:$E$11,MATCH($B96,'State Rules'!$A$5:$A$11,0))),""))</f>
        <v>47335</v>
      </c>
      <c r="R96" s="11" t="str">
        <f aca="false">IF(P96="","",IFERROR(IF(P96&lt;=INDEX('State Rules'!$I$5:$I$11,MATCH($B96,'State Rules'!$A$5:$A$11,0)),"Yes","No"),""))</f>
        <v>No</v>
      </c>
      <c r="S96" s="11" t="str">
        <f aca="false">IF(Q96="","",IFERROR(IF(Q96&lt;=INDEX('State Rules'!$I$5:$I$11,MATCH($B96,'State Rules'!$A$5:$A$11,0)),"Yes","No"),""))</f>
        <v>No</v>
      </c>
      <c r="T96" s="8"/>
      <c r="U96" s="8"/>
      <c r="V96" s="24"/>
      <c r="W96" s="24"/>
      <c r="X96" s="24"/>
      <c r="Y96" s="8"/>
      <c r="Z96" s="10" t="n">
        <f aca="false">IF(Q96="","",IF(Q96&lt;=$B$4,N(W96)+N(X96),0))</f>
        <v>0</v>
      </c>
      <c r="AA96" s="10" t="n">
        <f aca="false">IF(OR(LEFT(N96,6)="Larger",LEFT(N96,4)="Memo"),H96,0)</f>
        <v>795</v>
      </c>
      <c r="AB96" s="12" t="str">
        <f aca="false">IFERROR(INDEX('State Rules'!$M$5:$M$11,MATCH($B96,'State Rules'!$A$5:$A$11,0)),"")</f>
        <v>LONG</v>
      </c>
      <c r="AC96" s="22" t="n">
        <f aca="false">IF(AB96="SHORT",P96,IF(AB96="LONG",Q96,""))</f>
        <v>47335</v>
      </c>
      <c r="AD96" s="11" t="str">
        <f aca="false">IF(AB96="SHORT",R96,IF(AB96="LONG",S96,""))</f>
        <v>No</v>
      </c>
    </row>
    <row r="97" customFormat="false" ht="15" hidden="false" customHeight="false" outlineLevel="0" collapsed="false">
      <c r="A97" s="11" t="s">
        <v>42</v>
      </c>
      <c r="B97" s="12" t="str">
        <f aca="false">IF(U97&lt;&gt;"",U97,IFERROR(INDEX(Summary!$B$11:$B$18,MATCH($A97,Summary!$A$11:$A$18,0)),""))</f>
        <v>TX</v>
      </c>
      <c r="C97" s="11" t="s">
        <v>42</v>
      </c>
      <c r="D97" s="11" t="n">
        <v>22</v>
      </c>
      <c r="E97" s="22" t="n">
        <v>44951</v>
      </c>
      <c r="F97" s="11" t="s">
        <v>290</v>
      </c>
      <c r="G97" s="11" t="s">
        <v>218</v>
      </c>
      <c r="H97" s="10" t="n">
        <v>120</v>
      </c>
      <c r="I97" s="11" t="s">
        <v>291</v>
      </c>
      <c r="J97" s="11" t="s">
        <v>101</v>
      </c>
      <c r="K97" s="23" t="n">
        <f aca="false">IF(E97="","",($B$4-E97)/365.25)</f>
        <v>3.69609856262834</v>
      </c>
      <c r="L97" s="11" t="str">
        <f aca="false">IF(K97="","no date",IF(K97&lt;1,"0-1 yrs",IF(K97&lt;2,"1-2 yrs",IF(K97&lt;3,"2-3 yrs",IF(K97&lt;5,"3-5 yrs","5+ yrs")))))</f>
        <v>3-5 yrs</v>
      </c>
      <c r="M97" s="11" t="s">
        <v>101</v>
      </c>
      <c r="N97" s="12" t="str">
        <f aca="false">IF(M97="Yes","Memo flag - not ours / unknown / hold: resolve",IF(OR(COUNTIF(Summary!$C$4:$R$4,H97)&gt;0,AND(A97="Philly",COUNTIF(Summary!$C$5:$R$5,H97)&gt;0),AND(A97="TUR",COUNTIF(Summary!$C$6:$R$6,H97)&gt;0),AND(A97="Leading Edge",COUNTIF(Summary!$C$7:$R$7,H97)&gt;0)),"Fee amount - presumed company revenue",IF(H97&lt;=Summary!$B$8,"Small amount - likely fee, review","Larger amount - likely includes agent commission")))</f>
        <v>Small amount - likely fee, review</v>
      </c>
      <c r="O97" s="12" t="n">
        <f aca="false">IFERROR(INDEX('State Rules'!$C$5:$C$11,MATCH($B97,'State Rules'!$A$5:$A$11,0)),"")</f>
        <v>1</v>
      </c>
      <c r="P97" s="22" t="n">
        <f aca="false">IF(OR(O97="",E97=""),"",EDATE(E97,12*O97))</f>
        <v>45316</v>
      </c>
      <c r="Q97" s="22" t="n">
        <f aca="false">IF(E97="","",IFERROR(EDATE(E97,12*INDEX('State Rules'!$E$5:$E$11,MATCH($B97,'State Rules'!$A$5:$A$11,0))),""))</f>
        <v>46047</v>
      </c>
      <c r="R97" s="11" t="str">
        <f aca="false">IF(P97="","",IFERROR(IF(P97&lt;=INDEX('State Rules'!$I$5:$I$11,MATCH($B97,'State Rules'!$A$5:$A$11,0)),"Yes","No"),""))</f>
        <v>Yes</v>
      </c>
      <c r="S97" s="11" t="str">
        <f aca="false">IF(Q97="","",IFERROR(IF(Q97&lt;=INDEX('State Rules'!$I$5:$I$11,MATCH($B97,'State Rules'!$A$5:$A$11,0)),"Yes","No"),""))</f>
        <v>Yes</v>
      </c>
      <c r="T97" s="8"/>
      <c r="U97" s="8"/>
      <c r="V97" s="24"/>
      <c r="W97" s="24"/>
      <c r="X97" s="24"/>
      <c r="Y97" s="8"/>
      <c r="Z97" s="10" t="n">
        <f aca="false">IF(Q97="","",IF(Q97&lt;=$B$4,N(W97)+N(X97),0))</f>
        <v>0</v>
      </c>
      <c r="AA97" s="10" t="n">
        <f aca="false">IF(OR(LEFT(N97,6)="Larger",LEFT(N97,4)="Memo"),H97,0)</f>
        <v>0</v>
      </c>
      <c r="AB97" s="12" t="str">
        <f aca="false">IFERROR(INDEX('State Rules'!$M$5:$M$11,MATCH($B97,'State Rules'!$A$5:$A$11,0)),"")</f>
        <v>LONG</v>
      </c>
      <c r="AC97" s="22" t="n">
        <f aca="false">IF(AB97="SHORT",P97,IF(AB97="LONG",Q97,""))</f>
        <v>46047</v>
      </c>
      <c r="AD97" s="11" t="str">
        <f aca="false">IF(AB97="SHORT",R97,IF(AB97="LONG",S97,""))</f>
        <v>Yes</v>
      </c>
    </row>
    <row r="98" customFormat="false" ht="15" hidden="false" customHeight="false" outlineLevel="0" collapsed="false">
      <c r="A98" s="11" t="s">
        <v>42</v>
      </c>
      <c r="B98" s="12" t="str">
        <f aca="false">IF(U98&lt;&gt;"",U98,IFERROR(INDEX(Summary!$B$11:$B$18,MATCH($A98,Summary!$A$11:$A$18,0)),""))</f>
        <v>TX</v>
      </c>
      <c r="C98" s="11" t="s">
        <v>42</v>
      </c>
      <c r="D98" s="11" t="n">
        <v>23</v>
      </c>
      <c r="E98" s="22" t="n">
        <v>45049</v>
      </c>
      <c r="F98" s="11" t="s">
        <v>292</v>
      </c>
      <c r="G98" s="11" t="s">
        <v>293</v>
      </c>
      <c r="H98" s="10" t="n">
        <v>544</v>
      </c>
      <c r="I98" s="11" t="s">
        <v>294</v>
      </c>
      <c r="J98" s="11" t="s">
        <v>101</v>
      </c>
      <c r="K98" s="23" t="n">
        <f aca="false">IF(E98="","",($B$4-E98)/365.25)</f>
        <v>3.42778918548939</v>
      </c>
      <c r="L98" s="11" t="str">
        <f aca="false">IF(K98="","no date",IF(K98&lt;1,"0-1 yrs",IF(K98&lt;2,"1-2 yrs",IF(K98&lt;3,"2-3 yrs",IF(K98&lt;5,"3-5 yrs","5+ yrs")))))</f>
        <v>3-5 yrs</v>
      </c>
      <c r="M98" s="11" t="s">
        <v>101</v>
      </c>
      <c r="N98" s="12" t="str">
        <f aca="false">IF(M98="Yes","Memo flag - not ours / unknown / hold: resolve",IF(OR(COUNTIF(Summary!$C$4:$R$4,H98)&gt;0,AND(A98="Philly",COUNTIF(Summary!$C$5:$R$5,H98)&gt;0),AND(A98="TUR",COUNTIF(Summary!$C$6:$R$6,H98)&gt;0),AND(A98="Leading Edge",COUNTIF(Summary!$C$7:$R$7,H98)&gt;0)),"Fee amount - presumed company revenue",IF(H98&lt;=Summary!$B$8,"Small amount - likely fee, review","Larger amount - likely includes agent commission")))</f>
        <v>Fee amount - presumed company revenue</v>
      </c>
      <c r="O98" s="12" t="n">
        <f aca="false">IFERROR(INDEX('State Rules'!$C$5:$C$11,MATCH($B98,'State Rules'!$A$5:$A$11,0)),"")</f>
        <v>1</v>
      </c>
      <c r="P98" s="22" t="n">
        <f aca="false">IF(OR(O98="",E98=""),"",EDATE(E98,12*O98))</f>
        <v>45415</v>
      </c>
      <c r="Q98" s="22" t="n">
        <f aca="false">IF(E98="","",IFERROR(EDATE(E98,12*INDEX('State Rules'!$E$5:$E$11,MATCH($B98,'State Rules'!$A$5:$A$11,0))),""))</f>
        <v>46145</v>
      </c>
      <c r="R98" s="11" t="str">
        <f aca="false">IF(P98="","",IFERROR(IF(P98&lt;=INDEX('State Rules'!$I$5:$I$11,MATCH($B98,'State Rules'!$A$5:$A$11,0)),"Yes","No"),""))</f>
        <v>Yes</v>
      </c>
      <c r="S98" s="11" t="str">
        <f aca="false">IF(Q98="","",IFERROR(IF(Q98&lt;=INDEX('State Rules'!$I$5:$I$11,MATCH($B98,'State Rules'!$A$5:$A$11,0)),"Yes","No"),""))</f>
        <v>Yes</v>
      </c>
      <c r="T98" s="8"/>
      <c r="U98" s="8"/>
      <c r="V98" s="24"/>
      <c r="W98" s="24"/>
      <c r="X98" s="24"/>
      <c r="Y98" s="8"/>
      <c r="Z98" s="10" t="n">
        <f aca="false">IF(Q98="","",IF(Q98&lt;=$B$4,N(W98)+N(X98),0))</f>
        <v>0</v>
      </c>
      <c r="AA98" s="10" t="n">
        <f aca="false">IF(OR(LEFT(N98,6)="Larger",LEFT(N98,4)="Memo"),H98,0)</f>
        <v>0</v>
      </c>
      <c r="AB98" s="12" t="str">
        <f aca="false">IFERROR(INDEX('State Rules'!$M$5:$M$11,MATCH($B98,'State Rules'!$A$5:$A$11,0)),"")</f>
        <v>LONG</v>
      </c>
      <c r="AC98" s="22" t="n">
        <f aca="false">IF(AB98="SHORT",P98,IF(AB98="LONG",Q98,""))</f>
        <v>46145</v>
      </c>
      <c r="AD98" s="11" t="str">
        <f aca="false">IF(AB98="SHORT",R98,IF(AB98="LONG",S98,""))</f>
        <v>Yes</v>
      </c>
    </row>
    <row r="99" customFormat="false" ht="15" hidden="false" customHeight="false" outlineLevel="0" collapsed="false">
      <c r="A99" s="11" t="s">
        <v>42</v>
      </c>
      <c r="B99" s="12" t="str">
        <f aca="false">IF(U99&lt;&gt;"",U99,IFERROR(INDEX(Summary!$B$11:$B$18,MATCH($A99,Summary!$A$11:$A$18,0)),""))</f>
        <v>TX</v>
      </c>
      <c r="C99" s="11" t="s">
        <v>42</v>
      </c>
      <c r="D99" s="11" t="n">
        <v>24</v>
      </c>
      <c r="E99" s="22" t="n">
        <v>45093</v>
      </c>
      <c r="F99" s="11" t="s">
        <v>295</v>
      </c>
      <c r="G99" s="11" t="s">
        <v>296</v>
      </c>
      <c r="H99" s="10" t="n">
        <v>250</v>
      </c>
      <c r="I99" s="11" t="s">
        <v>297</v>
      </c>
      <c r="J99" s="11" t="s">
        <v>101</v>
      </c>
      <c r="K99" s="23" t="n">
        <f aca="false">IF(E99="","",($B$4-E99)/365.25)</f>
        <v>3.30732375085558</v>
      </c>
      <c r="L99" s="11" t="str">
        <f aca="false">IF(K99="","no date",IF(K99&lt;1,"0-1 yrs",IF(K99&lt;2,"1-2 yrs",IF(K99&lt;3,"2-3 yrs",IF(K99&lt;5,"3-5 yrs","5+ yrs")))))</f>
        <v>3-5 yrs</v>
      </c>
      <c r="M99" s="11" t="s">
        <v>101</v>
      </c>
      <c r="N99" s="12" t="str">
        <f aca="false">IF(M99="Yes","Memo flag - not ours / unknown / hold: resolve",IF(OR(COUNTIF(Summary!$C$4:$R$4,H99)&gt;0,AND(A99="Philly",COUNTIF(Summary!$C$5:$R$5,H99)&gt;0),AND(A99="TUR",COUNTIF(Summary!$C$6:$R$6,H99)&gt;0),AND(A99="Leading Edge",COUNTIF(Summary!$C$7:$R$7,H99)&gt;0)),"Fee amount - presumed company revenue",IF(H99&lt;=Summary!$B$8,"Small amount - likely fee, review","Larger amount - likely includes agent commission")))</f>
        <v>Fee amount - presumed company revenue</v>
      </c>
      <c r="O99" s="12" t="n">
        <f aca="false">IFERROR(INDEX('State Rules'!$C$5:$C$11,MATCH($B99,'State Rules'!$A$5:$A$11,0)),"")</f>
        <v>1</v>
      </c>
      <c r="P99" s="22" t="n">
        <f aca="false">IF(OR(O99="",E99=""),"",EDATE(E99,12*O99))</f>
        <v>45459</v>
      </c>
      <c r="Q99" s="22" t="n">
        <f aca="false">IF(E99="","",IFERROR(EDATE(E99,12*INDEX('State Rules'!$E$5:$E$11,MATCH($B99,'State Rules'!$A$5:$A$11,0))),""))</f>
        <v>46189</v>
      </c>
      <c r="R99" s="11" t="str">
        <f aca="false">IF(P99="","",IFERROR(IF(P99&lt;=INDEX('State Rules'!$I$5:$I$11,MATCH($B99,'State Rules'!$A$5:$A$11,0)),"Yes","No"),""))</f>
        <v>Yes</v>
      </c>
      <c r="S99" s="11" t="str">
        <f aca="false">IF(Q99="","",IFERROR(IF(Q99&lt;=INDEX('State Rules'!$I$5:$I$11,MATCH($B99,'State Rules'!$A$5:$A$11,0)),"Yes","No"),""))</f>
        <v>Yes</v>
      </c>
      <c r="T99" s="8"/>
      <c r="U99" s="8"/>
      <c r="V99" s="24"/>
      <c r="W99" s="24"/>
      <c r="X99" s="24"/>
      <c r="Y99" s="8"/>
      <c r="Z99" s="10" t="n">
        <f aca="false">IF(Q99="","",IF(Q99&lt;=$B$4,N(W99)+N(X99),0))</f>
        <v>0</v>
      </c>
      <c r="AA99" s="10" t="n">
        <f aca="false">IF(OR(LEFT(N99,6)="Larger",LEFT(N99,4)="Memo"),H99,0)</f>
        <v>0</v>
      </c>
      <c r="AB99" s="12" t="str">
        <f aca="false">IFERROR(INDEX('State Rules'!$M$5:$M$11,MATCH($B99,'State Rules'!$A$5:$A$11,0)),"")</f>
        <v>LONG</v>
      </c>
      <c r="AC99" s="22" t="n">
        <f aca="false">IF(AB99="SHORT",P99,IF(AB99="LONG",Q99,""))</f>
        <v>46189</v>
      </c>
      <c r="AD99" s="11" t="str">
        <f aca="false">IF(AB99="SHORT",R99,IF(AB99="LONG",S99,""))</f>
        <v>Yes</v>
      </c>
    </row>
    <row r="100" customFormat="false" ht="15" hidden="false" customHeight="false" outlineLevel="0" collapsed="false">
      <c r="A100" s="11" t="s">
        <v>42</v>
      </c>
      <c r="B100" s="12" t="str">
        <f aca="false">IF(U100&lt;&gt;"",U100,IFERROR(INDEX(Summary!$B$11:$B$18,MATCH($A100,Summary!$A$11:$A$18,0)),""))</f>
        <v>TX</v>
      </c>
      <c r="C100" s="11" t="s">
        <v>42</v>
      </c>
      <c r="D100" s="11" t="n">
        <v>25</v>
      </c>
      <c r="E100" s="22" t="n">
        <v>45093</v>
      </c>
      <c r="F100" s="11" t="s">
        <v>298</v>
      </c>
      <c r="G100" s="11"/>
      <c r="H100" s="10" t="n">
        <v>644</v>
      </c>
      <c r="I100" s="11" t="s">
        <v>299</v>
      </c>
      <c r="J100" s="11" t="s">
        <v>101</v>
      </c>
      <c r="K100" s="23" t="n">
        <f aca="false">IF(E100="","",($B$4-E100)/365.25)</f>
        <v>3.30732375085558</v>
      </c>
      <c r="L100" s="11" t="str">
        <f aca="false">IF(K100="","no date",IF(K100&lt;1,"0-1 yrs",IF(K100&lt;2,"1-2 yrs",IF(K100&lt;3,"2-3 yrs",IF(K100&lt;5,"3-5 yrs","5+ yrs")))))</f>
        <v>3-5 yrs</v>
      </c>
      <c r="M100" s="25" t="s">
        <v>112</v>
      </c>
      <c r="N100" s="12" t="str">
        <f aca="false">IF(M100="Yes","Memo flag - not ours / unknown / hold: resolve",IF(OR(COUNTIF(Summary!$C$4:$R$4,H100)&gt;0,AND(A100="Philly",COUNTIF(Summary!$C$5:$R$5,H100)&gt;0),AND(A100="TUR",COUNTIF(Summary!$C$6:$R$6,H100)&gt;0),AND(A100="Leading Edge",COUNTIF(Summary!$C$7:$R$7,H100)&gt;0)),"Fee amount - presumed company revenue",IF(H100&lt;=Summary!$B$8,"Small amount - likely fee, review","Larger amount - likely includes agent commission")))</f>
        <v>Memo flag - not ours / unknown / hold: resolve</v>
      </c>
      <c r="O100" s="12" t="n">
        <f aca="false">IFERROR(INDEX('State Rules'!$C$5:$C$11,MATCH($B100,'State Rules'!$A$5:$A$11,0)),"")</f>
        <v>1</v>
      </c>
      <c r="P100" s="22" t="n">
        <f aca="false">IF(OR(O100="",E100=""),"",EDATE(E100,12*O100))</f>
        <v>45459</v>
      </c>
      <c r="Q100" s="22" t="n">
        <f aca="false">IF(E100="","",IFERROR(EDATE(E100,12*INDEX('State Rules'!$E$5:$E$11,MATCH($B100,'State Rules'!$A$5:$A$11,0))),""))</f>
        <v>46189</v>
      </c>
      <c r="R100" s="11" t="str">
        <f aca="false">IF(P100="","",IFERROR(IF(P100&lt;=INDEX('State Rules'!$I$5:$I$11,MATCH($B100,'State Rules'!$A$5:$A$11,0)),"Yes","No"),""))</f>
        <v>Yes</v>
      </c>
      <c r="S100" s="11" t="str">
        <f aca="false">IF(Q100="","",IFERROR(IF(Q100&lt;=INDEX('State Rules'!$I$5:$I$11,MATCH($B100,'State Rules'!$A$5:$A$11,0)),"Yes","No"),""))</f>
        <v>Yes</v>
      </c>
      <c r="T100" s="8"/>
      <c r="U100" s="8"/>
      <c r="V100" s="24"/>
      <c r="W100" s="24"/>
      <c r="X100" s="24"/>
      <c r="Y100" s="8"/>
      <c r="Z100" s="10" t="n">
        <f aca="false">IF(Q100="","",IF(Q100&lt;=$B$4,N(W100)+N(X100),0))</f>
        <v>0</v>
      </c>
      <c r="AA100" s="10" t="n">
        <f aca="false">IF(OR(LEFT(N100,6)="Larger",LEFT(N100,4)="Memo"),H100,0)</f>
        <v>644</v>
      </c>
      <c r="AB100" s="12" t="str">
        <f aca="false">IFERROR(INDEX('State Rules'!$M$5:$M$11,MATCH($B100,'State Rules'!$A$5:$A$11,0)),"")</f>
        <v>LONG</v>
      </c>
      <c r="AC100" s="22" t="n">
        <f aca="false">IF(AB100="SHORT",P100,IF(AB100="LONG",Q100,""))</f>
        <v>46189</v>
      </c>
      <c r="AD100" s="11" t="str">
        <f aca="false">IF(AB100="SHORT",R100,IF(AB100="LONG",S100,""))</f>
        <v>Yes</v>
      </c>
    </row>
    <row r="101" customFormat="false" ht="15" hidden="false" customHeight="false" outlineLevel="0" collapsed="false">
      <c r="A101" s="11" t="s">
        <v>42</v>
      </c>
      <c r="B101" s="12" t="str">
        <f aca="false">IF(U101&lt;&gt;"",U101,IFERROR(INDEX(Summary!$B$11:$B$18,MATCH($A101,Summary!$A$11:$A$18,0)),""))</f>
        <v>TX</v>
      </c>
      <c r="C101" s="11" t="s">
        <v>42</v>
      </c>
      <c r="D101" s="11" t="n">
        <v>26</v>
      </c>
      <c r="E101" s="22" t="n">
        <v>45133</v>
      </c>
      <c r="F101" s="11" t="s">
        <v>300</v>
      </c>
      <c r="G101" s="11" t="s">
        <v>301</v>
      </c>
      <c r="H101" s="10" t="n">
        <v>150</v>
      </c>
      <c r="I101" s="11"/>
      <c r="J101" s="11" t="s">
        <v>101</v>
      </c>
      <c r="K101" s="23" t="n">
        <f aca="false">IF(E101="","",($B$4-E101)/365.25)</f>
        <v>3.19780971937029</v>
      </c>
      <c r="L101" s="11" t="str">
        <f aca="false">IF(K101="","no date",IF(K101&lt;1,"0-1 yrs",IF(K101&lt;2,"1-2 yrs",IF(K101&lt;3,"2-3 yrs",IF(K101&lt;5,"3-5 yrs","5+ yrs")))))</f>
        <v>3-5 yrs</v>
      </c>
      <c r="M101" s="11" t="s">
        <v>101</v>
      </c>
      <c r="N101" s="12" t="str">
        <f aca="false">IF(M101="Yes","Memo flag - not ours / unknown / hold: resolve",IF(OR(COUNTIF(Summary!$C$4:$R$4,H101)&gt;0,AND(A101="Philly",COUNTIF(Summary!$C$5:$R$5,H101)&gt;0),AND(A101="TUR",COUNTIF(Summary!$C$6:$R$6,H101)&gt;0),AND(A101="Leading Edge",COUNTIF(Summary!$C$7:$R$7,H101)&gt;0)),"Fee amount - presumed company revenue",IF(H101&lt;=Summary!$B$8,"Small amount - likely fee, review","Larger amount - likely includes agent commission")))</f>
        <v>Fee amount - presumed company revenue</v>
      </c>
      <c r="O101" s="12" t="n">
        <f aca="false">IFERROR(INDEX('State Rules'!$C$5:$C$11,MATCH($B101,'State Rules'!$A$5:$A$11,0)),"")</f>
        <v>1</v>
      </c>
      <c r="P101" s="22" t="n">
        <f aca="false">IF(OR(O101="",E101=""),"",EDATE(E101,12*O101))</f>
        <v>45499</v>
      </c>
      <c r="Q101" s="22" t="n">
        <f aca="false">IF(E101="","",IFERROR(EDATE(E101,12*INDEX('State Rules'!$E$5:$E$11,MATCH($B101,'State Rules'!$A$5:$A$11,0))),""))</f>
        <v>46229</v>
      </c>
      <c r="R101" s="11" t="str">
        <f aca="false">IF(P101="","",IFERROR(IF(P101&lt;=INDEX('State Rules'!$I$5:$I$11,MATCH($B101,'State Rules'!$A$5:$A$11,0)),"Yes","No"),""))</f>
        <v>Yes</v>
      </c>
      <c r="S101" s="11" t="str">
        <f aca="false">IF(Q101="","",IFERROR(IF(Q101&lt;=INDEX('State Rules'!$I$5:$I$11,MATCH($B101,'State Rules'!$A$5:$A$11,0)),"Yes","No"),""))</f>
        <v>Yes</v>
      </c>
      <c r="T101" s="8"/>
      <c r="U101" s="8"/>
      <c r="V101" s="24"/>
      <c r="W101" s="24"/>
      <c r="X101" s="24"/>
      <c r="Y101" s="8"/>
      <c r="Z101" s="10" t="n">
        <f aca="false">IF(Q101="","",IF(Q101&lt;=$B$4,N(W101)+N(X101),0))</f>
        <v>0</v>
      </c>
      <c r="AA101" s="10" t="n">
        <f aca="false">IF(OR(LEFT(N101,6)="Larger",LEFT(N101,4)="Memo"),H101,0)</f>
        <v>0</v>
      </c>
      <c r="AB101" s="12" t="str">
        <f aca="false">IFERROR(INDEX('State Rules'!$M$5:$M$11,MATCH($B101,'State Rules'!$A$5:$A$11,0)),"")</f>
        <v>LONG</v>
      </c>
      <c r="AC101" s="22" t="n">
        <f aca="false">IF(AB101="SHORT",P101,IF(AB101="LONG",Q101,""))</f>
        <v>46229</v>
      </c>
      <c r="AD101" s="11" t="str">
        <f aca="false">IF(AB101="SHORT",R101,IF(AB101="LONG",S101,""))</f>
        <v>Yes</v>
      </c>
    </row>
    <row r="102" customFormat="false" ht="15" hidden="false" customHeight="false" outlineLevel="0" collapsed="false">
      <c r="A102" s="11" t="s">
        <v>42</v>
      </c>
      <c r="B102" s="12" t="str">
        <f aca="false">IF(U102&lt;&gt;"",U102,IFERROR(INDEX(Summary!$B$11:$B$18,MATCH($A102,Summary!$A$11:$A$18,0)),""))</f>
        <v>TX</v>
      </c>
      <c r="C102" s="11" t="s">
        <v>42</v>
      </c>
      <c r="D102" s="11" t="n">
        <v>27</v>
      </c>
      <c r="E102" s="22" t="n">
        <v>45135</v>
      </c>
      <c r="F102" s="11" t="s">
        <v>302</v>
      </c>
      <c r="G102" s="11" t="s">
        <v>303</v>
      </c>
      <c r="H102" s="10" t="n">
        <v>150</v>
      </c>
      <c r="I102" s="11" t="s">
        <v>304</v>
      </c>
      <c r="J102" s="11" t="s">
        <v>101</v>
      </c>
      <c r="K102" s="23" t="n">
        <f aca="false">IF(E102="","",($B$4-E102)/365.25)</f>
        <v>3.19233401779603</v>
      </c>
      <c r="L102" s="11" t="str">
        <f aca="false">IF(K102="","no date",IF(K102&lt;1,"0-1 yrs",IF(K102&lt;2,"1-2 yrs",IF(K102&lt;3,"2-3 yrs",IF(K102&lt;5,"3-5 yrs","5+ yrs")))))</f>
        <v>3-5 yrs</v>
      </c>
      <c r="M102" s="11" t="s">
        <v>101</v>
      </c>
      <c r="N102" s="12" t="str">
        <f aca="false">IF(M102="Yes","Memo flag - not ours / unknown / hold: resolve",IF(OR(COUNTIF(Summary!$C$4:$R$4,H102)&gt;0,AND(A102="Philly",COUNTIF(Summary!$C$5:$R$5,H102)&gt;0),AND(A102="TUR",COUNTIF(Summary!$C$6:$R$6,H102)&gt;0),AND(A102="Leading Edge",COUNTIF(Summary!$C$7:$R$7,H102)&gt;0)),"Fee amount - presumed company revenue",IF(H102&lt;=Summary!$B$8,"Small amount - likely fee, review","Larger amount - likely includes agent commission")))</f>
        <v>Fee amount - presumed company revenue</v>
      </c>
      <c r="O102" s="12" t="n">
        <f aca="false">IFERROR(INDEX('State Rules'!$C$5:$C$11,MATCH($B102,'State Rules'!$A$5:$A$11,0)),"")</f>
        <v>1</v>
      </c>
      <c r="P102" s="22" t="n">
        <f aca="false">IF(OR(O102="",E102=""),"",EDATE(E102,12*O102))</f>
        <v>45501</v>
      </c>
      <c r="Q102" s="22" t="n">
        <f aca="false">IF(E102="","",IFERROR(EDATE(E102,12*INDEX('State Rules'!$E$5:$E$11,MATCH($B102,'State Rules'!$A$5:$A$11,0))),""))</f>
        <v>46231</v>
      </c>
      <c r="R102" s="11" t="str">
        <f aca="false">IF(P102="","",IFERROR(IF(P102&lt;=INDEX('State Rules'!$I$5:$I$11,MATCH($B102,'State Rules'!$A$5:$A$11,0)),"Yes","No"),""))</f>
        <v>Yes</v>
      </c>
      <c r="S102" s="11" t="str">
        <f aca="false">IF(Q102="","",IFERROR(IF(Q102&lt;=INDEX('State Rules'!$I$5:$I$11,MATCH($B102,'State Rules'!$A$5:$A$11,0)),"Yes","No"),""))</f>
        <v>Yes</v>
      </c>
      <c r="T102" s="8"/>
      <c r="U102" s="8"/>
      <c r="V102" s="24"/>
      <c r="W102" s="24"/>
      <c r="X102" s="24"/>
      <c r="Y102" s="8"/>
      <c r="Z102" s="10" t="n">
        <f aca="false">IF(Q102="","",IF(Q102&lt;=$B$4,N(W102)+N(X102),0))</f>
        <v>0</v>
      </c>
      <c r="AA102" s="10" t="n">
        <f aca="false">IF(OR(LEFT(N102,6)="Larger",LEFT(N102,4)="Memo"),H102,0)</f>
        <v>0</v>
      </c>
      <c r="AB102" s="12" t="str">
        <f aca="false">IFERROR(INDEX('State Rules'!$M$5:$M$11,MATCH($B102,'State Rules'!$A$5:$A$11,0)),"")</f>
        <v>LONG</v>
      </c>
      <c r="AC102" s="22" t="n">
        <f aca="false">IF(AB102="SHORT",P102,IF(AB102="LONG",Q102,""))</f>
        <v>46231</v>
      </c>
      <c r="AD102" s="11" t="str">
        <f aca="false">IF(AB102="SHORT",R102,IF(AB102="LONG",S102,""))</f>
        <v>Yes</v>
      </c>
    </row>
    <row r="103" customFormat="false" ht="15" hidden="false" customHeight="false" outlineLevel="0" collapsed="false">
      <c r="A103" s="11" t="s">
        <v>42</v>
      </c>
      <c r="B103" s="12" t="str">
        <f aca="false">IF(U103&lt;&gt;"",U103,IFERROR(INDEX(Summary!$B$11:$B$18,MATCH($A103,Summary!$A$11:$A$18,0)),""))</f>
        <v>TX</v>
      </c>
      <c r="C103" s="11" t="s">
        <v>42</v>
      </c>
      <c r="D103" s="11" t="n">
        <v>28</v>
      </c>
      <c r="E103" s="22" t="n">
        <v>45232</v>
      </c>
      <c r="F103" s="11" t="s">
        <v>305</v>
      </c>
      <c r="G103" s="11" t="s">
        <v>306</v>
      </c>
      <c r="H103" s="10" t="n">
        <v>1000</v>
      </c>
      <c r="I103" s="11"/>
      <c r="J103" s="11" t="s">
        <v>101</v>
      </c>
      <c r="K103" s="23" t="n">
        <f aca="false">IF(E103="","",($B$4-E103)/365.25)</f>
        <v>2.92676249144422</v>
      </c>
      <c r="L103" s="11" t="str">
        <f aca="false">IF(K103="","no date",IF(K103&lt;1,"0-1 yrs",IF(K103&lt;2,"1-2 yrs",IF(K103&lt;3,"2-3 yrs",IF(K103&lt;5,"3-5 yrs","5+ yrs")))))</f>
        <v>2-3 yrs</v>
      </c>
      <c r="M103" s="11" t="s">
        <v>101</v>
      </c>
      <c r="N103" s="12" t="str">
        <f aca="false">IF(M103="Yes","Memo flag - not ours / unknown / hold: resolve",IF(OR(COUNTIF(Summary!$C$4:$R$4,H103)&gt;0,AND(A103="Philly",COUNTIF(Summary!$C$5:$R$5,H103)&gt;0),AND(A103="TUR",COUNTIF(Summary!$C$6:$R$6,H103)&gt;0),AND(A103="Leading Edge",COUNTIF(Summary!$C$7:$R$7,H103)&gt;0)),"Fee amount - presumed company revenue",IF(H103&lt;=Summary!$B$8,"Small amount - likely fee, review","Larger amount - likely includes agent commission")))</f>
        <v>Larger amount - likely includes agent commission</v>
      </c>
      <c r="O103" s="12" t="n">
        <f aca="false">IFERROR(INDEX('State Rules'!$C$5:$C$11,MATCH($B103,'State Rules'!$A$5:$A$11,0)),"")</f>
        <v>1</v>
      </c>
      <c r="P103" s="22" t="n">
        <f aca="false">IF(OR(O103="",E103=""),"",EDATE(E103,12*O103))</f>
        <v>45598</v>
      </c>
      <c r="Q103" s="22" t="n">
        <f aca="false">IF(E103="","",IFERROR(EDATE(E103,12*INDEX('State Rules'!$E$5:$E$11,MATCH($B103,'State Rules'!$A$5:$A$11,0))),""))</f>
        <v>46328</v>
      </c>
      <c r="R103" s="11" t="str">
        <f aca="false">IF(P103="","",IFERROR(IF(P103&lt;=INDEX('State Rules'!$I$5:$I$11,MATCH($B103,'State Rules'!$A$5:$A$11,0)),"Yes","No"),""))</f>
        <v>Yes</v>
      </c>
      <c r="S103" s="11" t="str">
        <f aca="false">IF(Q103="","",IFERROR(IF(Q103&lt;=INDEX('State Rules'!$I$5:$I$11,MATCH($B103,'State Rules'!$A$5:$A$11,0)),"Yes","No"),""))</f>
        <v>Yes</v>
      </c>
      <c r="T103" s="8"/>
      <c r="U103" s="8"/>
      <c r="V103" s="24"/>
      <c r="W103" s="24"/>
      <c r="X103" s="24"/>
      <c r="Y103" s="8"/>
      <c r="Z103" s="10" t="n">
        <f aca="false">IF(Q103="","",IF(Q103&lt;=$B$4,N(W103)+N(X103),0))</f>
        <v>0</v>
      </c>
      <c r="AA103" s="10" t="n">
        <f aca="false">IF(OR(LEFT(N103,6)="Larger",LEFT(N103,4)="Memo"),H103,0)</f>
        <v>1000</v>
      </c>
      <c r="AB103" s="12" t="str">
        <f aca="false">IFERROR(INDEX('State Rules'!$M$5:$M$11,MATCH($B103,'State Rules'!$A$5:$A$11,0)),"")</f>
        <v>LONG</v>
      </c>
      <c r="AC103" s="22" t="n">
        <f aca="false">IF(AB103="SHORT",P103,IF(AB103="LONG",Q103,""))</f>
        <v>46328</v>
      </c>
      <c r="AD103" s="11" t="str">
        <f aca="false">IF(AB103="SHORT",R103,IF(AB103="LONG",S103,""))</f>
        <v>Yes</v>
      </c>
    </row>
    <row r="104" customFormat="false" ht="15" hidden="false" customHeight="false" outlineLevel="0" collapsed="false">
      <c r="A104" s="11" t="s">
        <v>42</v>
      </c>
      <c r="B104" s="12" t="str">
        <f aca="false">IF(U104&lt;&gt;"",U104,IFERROR(INDEX(Summary!$B$11:$B$18,MATCH($A104,Summary!$A$11:$A$18,0)),""))</f>
        <v>TX</v>
      </c>
      <c r="C104" s="11" t="s">
        <v>42</v>
      </c>
      <c r="D104" s="11" t="n">
        <v>29</v>
      </c>
      <c r="E104" s="22" t="n">
        <v>45280</v>
      </c>
      <c r="F104" s="11" t="s">
        <v>307</v>
      </c>
      <c r="G104" s="11" t="s">
        <v>308</v>
      </c>
      <c r="H104" s="10" t="n">
        <v>60</v>
      </c>
      <c r="I104" s="11" t="s">
        <v>309</v>
      </c>
      <c r="J104" s="11" t="s">
        <v>101</v>
      </c>
      <c r="K104" s="23" t="n">
        <f aca="false">IF(E104="","",($B$4-E104)/365.25)</f>
        <v>2.79534565366188</v>
      </c>
      <c r="L104" s="11" t="str">
        <f aca="false">IF(K104="","no date",IF(K104&lt;1,"0-1 yrs",IF(K104&lt;2,"1-2 yrs",IF(K104&lt;3,"2-3 yrs",IF(K104&lt;5,"3-5 yrs","5+ yrs")))))</f>
        <v>2-3 yrs</v>
      </c>
      <c r="M104" s="11" t="s">
        <v>101</v>
      </c>
      <c r="N104" s="12" t="str">
        <f aca="false">IF(M104="Yes","Memo flag - not ours / unknown / hold: resolve",IF(OR(COUNTIF(Summary!$C$4:$R$4,H104)&gt;0,AND(A104="Philly",COUNTIF(Summary!$C$5:$R$5,H104)&gt;0),AND(A104="TUR",COUNTIF(Summary!$C$6:$R$6,H104)&gt;0),AND(A104="Leading Edge",COUNTIF(Summary!$C$7:$R$7,H104)&gt;0)),"Fee amount - presumed company revenue",IF(H104&lt;=Summary!$B$8,"Small amount - likely fee, review","Larger amount - likely includes agent commission")))</f>
        <v>Fee amount - presumed company revenue</v>
      </c>
      <c r="O104" s="12" t="n">
        <f aca="false">IFERROR(INDEX('State Rules'!$C$5:$C$11,MATCH($B104,'State Rules'!$A$5:$A$11,0)),"")</f>
        <v>1</v>
      </c>
      <c r="P104" s="22" t="n">
        <f aca="false">IF(OR(O104="",E104=""),"",EDATE(E104,12*O104))</f>
        <v>45646</v>
      </c>
      <c r="Q104" s="22" t="n">
        <f aca="false">IF(E104="","",IFERROR(EDATE(E104,12*INDEX('State Rules'!$E$5:$E$11,MATCH($B104,'State Rules'!$A$5:$A$11,0))),""))</f>
        <v>46376</v>
      </c>
      <c r="R104" s="11" t="str">
        <f aca="false">IF(P104="","",IFERROR(IF(P104&lt;=INDEX('State Rules'!$I$5:$I$11,MATCH($B104,'State Rules'!$A$5:$A$11,0)),"Yes","No"),""))</f>
        <v>Yes</v>
      </c>
      <c r="S104" s="11" t="str">
        <f aca="false">IF(Q104="","",IFERROR(IF(Q104&lt;=INDEX('State Rules'!$I$5:$I$11,MATCH($B104,'State Rules'!$A$5:$A$11,0)),"Yes","No"),""))</f>
        <v>Yes</v>
      </c>
      <c r="T104" s="8"/>
      <c r="U104" s="8"/>
      <c r="V104" s="24"/>
      <c r="W104" s="24"/>
      <c r="X104" s="24"/>
      <c r="Y104" s="8"/>
      <c r="Z104" s="10" t="n">
        <f aca="false">IF(Q104="","",IF(Q104&lt;=$B$4,N(W104)+N(X104),0))</f>
        <v>0</v>
      </c>
      <c r="AA104" s="10" t="n">
        <f aca="false">IF(OR(LEFT(N104,6)="Larger",LEFT(N104,4)="Memo"),H104,0)</f>
        <v>0</v>
      </c>
      <c r="AB104" s="12" t="str">
        <f aca="false">IFERROR(INDEX('State Rules'!$M$5:$M$11,MATCH($B104,'State Rules'!$A$5:$A$11,0)),"")</f>
        <v>LONG</v>
      </c>
      <c r="AC104" s="22" t="n">
        <f aca="false">IF(AB104="SHORT",P104,IF(AB104="LONG",Q104,""))</f>
        <v>46376</v>
      </c>
      <c r="AD104" s="11" t="str">
        <f aca="false">IF(AB104="SHORT",R104,IF(AB104="LONG",S104,""))</f>
        <v>Yes</v>
      </c>
    </row>
    <row r="105" customFormat="false" ht="15" hidden="false" customHeight="false" outlineLevel="0" collapsed="false">
      <c r="A105" s="11" t="s">
        <v>42</v>
      </c>
      <c r="B105" s="12" t="str">
        <f aca="false">IF(U105&lt;&gt;"",U105,IFERROR(INDEX(Summary!$B$11:$B$18,MATCH($A105,Summary!$A$11:$A$18,0)),""))</f>
        <v>TX</v>
      </c>
      <c r="C105" s="11" t="s">
        <v>42</v>
      </c>
      <c r="D105" s="11" t="n">
        <v>30</v>
      </c>
      <c r="E105" s="22" t="n">
        <v>45343</v>
      </c>
      <c r="F105" s="11" t="s">
        <v>310</v>
      </c>
      <c r="G105" s="11" t="s">
        <v>241</v>
      </c>
      <c r="H105" s="10" t="n">
        <v>644</v>
      </c>
      <c r="I105" s="11"/>
      <c r="J105" s="11" t="s">
        <v>101</v>
      </c>
      <c r="K105" s="23" t="n">
        <f aca="false">IF(E105="","",($B$4-E105)/365.25)</f>
        <v>2.62286105407255</v>
      </c>
      <c r="L105" s="11" t="str">
        <f aca="false">IF(K105="","no date",IF(K105&lt;1,"0-1 yrs",IF(K105&lt;2,"1-2 yrs",IF(K105&lt;3,"2-3 yrs",IF(K105&lt;5,"3-5 yrs","5+ yrs")))))</f>
        <v>2-3 yrs</v>
      </c>
      <c r="M105" s="11" t="s">
        <v>101</v>
      </c>
      <c r="N105" s="12" t="str">
        <f aca="false">IF(M105="Yes","Memo flag - not ours / unknown / hold: resolve",IF(OR(COUNTIF(Summary!$C$4:$R$4,H105)&gt;0,AND(A105="Philly",COUNTIF(Summary!$C$5:$R$5,H105)&gt;0),AND(A105="TUR",COUNTIF(Summary!$C$6:$R$6,H105)&gt;0),AND(A105="Leading Edge",COUNTIF(Summary!$C$7:$R$7,H105)&gt;0)),"Fee amount - presumed company revenue",IF(H105&lt;=Summary!$B$8,"Small amount - likely fee, review","Larger amount - likely includes agent commission")))</f>
        <v>Fee amount - presumed company revenue</v>
      </c>
      <c r="O105" s="12" t="n">
        <f aca="false">IFERROR(INDEX('State Rules'!$C$5:$C$11,MATCH($B105,'State Rules'!$A$5:$A$11,0)),"")</f>
        <v>1</v>
      </c>
      <c r="P105" s="22" t="n">
        <f aca="false">IF(OR(O105="",E105=""),"",EDATE(E105,12*O105))</f>
        <v>45709</v>
      </c>
      <c r="Q105" s="22" t="n">
        <f aca="false">IF(E105="","",IFERROR(EDATE(E105,12*INDEX('State Rules'!$E$5:$E$11,MATCH($B105,'State Rules'!$A$5:$A$11,0))),""))</f>
        <v>46439</v>
      </c>
      <c r="R105" s="11" t="str">
        <f aca="false">IF(P105="","",IFERROR(IF(P105&lt;=INDEX('State Rules'!$I$5:$I$11,MATCH($B105,'State Rules'!$A$5:$A$11,0)),"Yes","No"),""))</f>
        <v>Yes</v>
      </c>
      <c r="S105" s="11" t="str">
        <f aca="false">IF(Q105="","",IFERROR(IF(Q105&lt;=INDEX('State Rules'!$I$5:$I$11,MATCH($B105,'State Rules'!$A$5:$A$11,0)),"Yes","No"),""))</f>
        <v>Yes</v>
      </c>
      <c r="T105" s="8"/>
      <c r="U105" s="8"/>
      <c r="V105" s="24"/>
      <c r="W105" s="24"/>
      <c r="X105" s="24"/>
      <c r="Y105" s="8"/>
      <c r="Z105" s="10" t="n">
        <f aca="false">IF(Q105="","",IF(Q105&lt;=$B$4,N(W105)+N(X105),0))</f>
        <v>0</v>
      </c>
      <c r="AA105" s="10" t="n">
        <f aca="false">IF(OR(LEFT(N105,6)="Larger",LEFT(N105,4)="Memo"),H105,0)</f>
        <v>0</v>
      </c>
      <c r="AB105" s="12" t="str">
        <f aca="false">IFERROR(INDEX('State Rules'!$M$5:$M$11,MATCH($B105,'State Rules'!$A$5:$A$11,0)),"")</f>
        <v>LONG</v>
      </c>
      <c r="AC105" s="22" t="n">
        <f aca="false">IF(AB105="SHORT",P105,IF(AB105="LONG",Q105,""))</f>
        <v>46439</v>
      </c>
      <c r="AD105" s="11" t="str">
        <f aca="false">IF(AB105="SHORT",R105,IF(AB105="LONG",S105,""))</f>
        <v>Yes</v>
      </c>
    </row>
    <row r="106" customFormat="false" ht="15" hidden="false" customHeight="false" outlineLevel="0" collapsed="false">
      <c r="A106" s="11" t="s">
        <v>42</v>
      </c>
      <c r="B106" s="12" t="str">
        <f aca="false">IF(U106&lt;&gt;"",U106,IFERROR(INDEX(Summary!$B$11:$B$18,MATCH($A106,Summary!$A$11:$A$18,0)),""))</f>
        <v>TX</v>
      </c>
      <c r="C106" s="11" t="s">
        <v>42</v>
      </c>
      <c r="D106" s="11" t="n">
        <v>31</v>
      </c>
      <c r="E106" s="22" t="n">
        <v>45345</v>
      </c>
      <c r="F106" s="11" t="s">
        <v>311</v>
      </c>
      <c r="G106" s="11"/>
      <c r="H106" s="10" t="n">
        <v>729.5</v>
      </c>
      <c r="I106" s="11" t="s">
        <v>312</v>
      </c>
      <c r="J106" s="11" t="s">
        <v>101</v>
      </c>
      <c r="K106" s="23" t="n">
        <f aca="false">IF(E106="","",($B$4-E106)/365.25)</f>
        <v>2.61738535249829</v>
      </c>
      <c r="L106" s="11" t="str">
        <f aca="false">IF(K106="","no date",IF(K106&lt;1,"0-1 yrs",IF(K106&lt;2,"1-2 yrs",IF(K106&lt;3,"2-3 yrs",IF(K106&lt;5,"3-5 yrs","5+ yrs")))))</f>
        <v>2-3 yrs</v>
      </c>
      <c r="M106" s="11" t="s">
        <v>101</v>
      </c>
      <c r="N106" s="12" t="str">
        <f aca="false">IF(M106="Yes","Memo flag - not ours / unknown / hold: resolve",IF(OR(COUNTIF(Summary!$C$4:$R$4,H106)&gt;0,AND(A106="Philly",COUNTIF(Summary!$C$5:$R$5,H106)&gt;0),AND(A106="TUR",COUNTIF(Summary!$C$6:$R$6,H106)&gt;0),AND(A106="Leading Edge",COUNTIF(Summary!$C$7:$R$7,H106)&gt;0)),"Fee amount - presumed company revenue",IF(H106&lt;=Summary!$B$8,"Small amount - likely fee, review","Larger amount - likely includes agent commission")))</f>
        <v>Larger amount - likely includes agent commission</v>
      </c>
      <c r="O106" s="12" t="n">
        <f aca="false">IFERROR(INDEX('State Rules'!$C$5:$C$11,MATCH($B106,'State Rules'!$A$5:$A$11,0)),"")</f>
        <v>1</v>
      </c>
      <c r="P106" s="22" t="n">
        <f aca="false">IF(OR(O106="",E106=""),"",EDATE(E106,12*O106))</f>
        <v>45711</v>
      </c>
      <c r="Q106" s="22" t="n">
        <f aca="false">IF(E106="","",IFERROR(EDATE(E106,12*INDEX('State Rules'!$E$5:$E$11,MATCH($B106,'State Rules'!$A$5:$A$11,0))),""))</f>
        <v>46441</v>
      </c>
      <c r="R106" s="11" t="str">
        <f aca="false">IF(P106="","",IFERROR(IF(P106&lt;=INDEX('State Rules'!$I$5:$I$11,MATCH($B106,'State Rules'!$A$5:$A$11,0)),"Yes","No"),""))</f>
        <v>Yes</v>
      </c>
      <c r="S106" s="11" t="str">
        <f aca="false">IF(Q106="","",IFERROR(IF(Q106&lt;=INDEX('State Rules'!$I$5:$I$11,MATCH($B106,'State Rules'!$A$5:$A$11,0)),"Yes","No"),""))</f>
        <v>Yes</v>
      </c>
      <c r="T106" s="8"/>
      <c r="U106" s="8"/>
      <c r="V106" s="24"/>
      <c r="W106" s="24"/>
      <c r="X106" s="24"/>
      <c r="Y106" s="8"/>
      <c r="Z106" s="10" t="n">
        <f aca="false">IF(Q106="","",IF(Q106&lt;=$B$4,N(W106)+N(X106),0))</f>
        <v>0</v>
      </c>
      <c r="AA106" s="10" t="n">
        <f aca="false">IF(OR(LEFT(N106,6)="Larger",LEFT(N106,4)="Memo"),H106,0)</f>
        <v>729.5</v>
      </c>
      <c r="AB106" s="12" t="str">
        <f aca="false">IFERROR(INDEX('State Rules'!$M$5:$M$11,MATCH($B106,'State Rules'!$A$5:$A$11,0)),"")</f>
        <v>LONG</v>
      </c>
      <c r="AC106" s="22" t="n">
        <f aca="false">IF(AB106="SHORT",P106,IF(AB106="LONG",Q106,""))</f>
        <v>46441</v>
      </c>
      <c r="AD106" s="11" t="str">
        <f aca="false">IF(AB106="SHORT",R106,IF(AB106="LONG",S106,""))</f>
        <v>Yes</v>
      </c>
    </row>
    <row r="107" customFormat="false" ht="15" hidden="false" customHeight="false" outlineLevel="0" collapsed="false">
      <c r="A107" s="11" t="s">
        <v>42</v>
      </c>
      <c r="B107" s="12" t="str">
        <f aca="false">IF(U107&lt;&gt;"",U107,IFERROR(INDEX(Summary!$B$11:$B$18,MATCH($A107,Summary!$A$11:$A$18,0)),""))</f>
        <v>TX</v>
      </c>
      <c r="C107" s="11" t="s">
        <v>42</v>
      </c>
      <c r="D107" s="11" t="n">
        <v>32</v>
      </c>
      <c r="E107" s="22" t="n">
        <v>45370</v>
      </c>
      <c r="F107" s="11" t="s">
        <v>313</v>
      </c>
      <c r="G107" s="11" t="s">
        <v>225</v>
      </c>
      <c r="H107" s="10" t="n">
        <v>1000</v>
      </c>
      <c r="I107" s="11"/>
      <c r="J107" s="11" t="s">
        <v>101</v>
      </c>
      <c r="K107" s="23" t="n">
        <f aca="false">IF(E107="","",($B$4-E107)/365.25)</f>
        <v>2.54893908281999</v>
      </c>
      <c r="L107" s="11" t="str">
        <f aca="false">IF(K107="","no date",IF(K107&lt;1,"0-1 yrs",IF(K107&lt;2,"1-2 yrs",IF(K107&lt;3,"2-3 yrs",IF(K107&lt;5,"3-5 yrs","5+ yrs")))))</f>
        <v>2-3 yrs</v>
      </c>
      <c r="M107" s="11" t="s">
        <v>101</v>
      </c>
      <c r="N107" s="12" t="str">
        <f aca="false">IF(M107="Yes","Memo flag - not ours / unknown / hold: resolve",IF(OR(COUNTIF(Summary!$C$4:$R$4,H107)&gt;0,AND(A107="Philly",COUNTIF(Summary!$C$5:$R$5,H107)&gt;0),AND(A107="TUR",COUNTIF(Summary!$C$6:$R$6,H107)&gt;0),AND(A107="Leading Edge",COUNTIF(Summary!$C$7:$R$7,H107)&gt;0)),"Fee amount - presumed company revenue",IF(H107&lt;=Summary!$B$8,"Small amount - likely fee, review","Larger amount - likely includes agent commission")))</f>
        <v>Larger amount - likely includes agent commission</v>
      </c>
      <c r="O107" s="12" t="n">
        <f aca="false">IFERROR(INDEX('State Rules'!$C$5:$C$11,MATCH($B107,'State Rules'!$A$5:$A$11,0)),"")</f>
        <v>1</v>
      </c>
      <c r="P107" s="22" t="n">
        <f aca="false">IF(OR(O107="",E107=""),"",EDATE(E107,12*O107))</f>
        <v>45735</v>
      </c>
      <c r="Q107" s="22" t="n">
        <f aca="false">IF(E107="","",IFERROR(EDATE(E107,12*INDEX('State Rules'!$E$5:$E$11,MATCH($B107,'State Rules'!$A$5:$A$11,0))),""))</f>
        <v>46465</v>
      </c>
      <c r="R107" s="11" t="str">
        <f aca="false">IF(P107="","",IFERROR(IF(P107&lt;=INDEX('State Rules'!$I$5:$I$11,MATCH($B107,'State Rules'!$A$5:$A$11,0)),"Yes","No"),""))</f>
        <v>Yes</v>
      </c>
      <c r="S107" s="11" t="str">
        <f aca="false">IF(Q107="","",IFERROR(IF(Q107&lt;=INDEX('State Rules'!$I$5:$I$11,MATCH($B107,'State Rules'!$A$5:$A$11,0)),"Yes","No"),""))</f>
        <v>No</v>
      </c>
      <c r="T107" s="8"/>
      <c r="U107" s="8"/>
      <c r="V107" s="24"/>
      <c r="W107" s="24"/>
      <c r="X107" s="24"/>
      <c r="Y107" s="8"/>
      <c r="Z107" s="10" t="n">
        <f aca="false">IF(Q107="","",IF(Q107&lt;=$B$4,N(W107)+N(X107),0))</f>
        <v>0</v>
      </c>
      <c r="AA107" s="10" t="n">
        <f aca="false">IF(OR(LEFT(N107,6)="Larger",LEFT(N107,4)="Memo"),H107,0)</f>
        <v>1000</v>
      </c>
      <c r="AB107" s="12" t="str">
        <f aca="false">IFERROR(INDEX('State Rules'!$M$5:$M$11,MATCH($B107,'State Rules'!$A$5:$A$11,0)),"")</f>
        <v>LONG</v>
      </c>
      <c r="AC107" s="22" t="n">
        <f aca="false">IF(AB107="SHORT",P107,IF(AB107="LONG",Q107,""))</f>
        <v>46465</v>
      </c>
      <c r="AD107" s="11" t="str">
        <f aca="false">IF(AB107="SHORT",R107,IF(AB107="LONG",S107,""))</f>
        <v>No</v>
      </c>
    </row>
    <row r="108" customFormat="false" ht="15" hidden="false" customHeight="false" outlineLevel="0" collapsed="false">
      <c r="A108" s="11" t="s">
        <v>42</v>
      </c>
      <c r="B108" s="12" t="str">
        <f aca="false">IF(U108&lt;&gt;"",U108,IFERROR(INDEX(Summary!$B$11:$B$18,MATCH($A108,Summary!$A$11:$A$18,0)),""))</f>
        <v>TX</v>
      </c>
      <c r="C108" s="11" t="s">
        <v>42</v>
      </c>
      <c r="D108" s="11" t="n">
        <v>33</v>
      </c>
      <c r="E108" s="22" t="n">
        <v>45388</v>
      </c>
      <c r="F108" s="11" t="s">
        <v>314</v>
      </c>
      <c r="G108" s="11" t="s">
        <v>315</v>
      </c>
      <c r="H108" s="10" t="n">
        <v>250</v>
      </c>
      <c r="I108" s="11"/>
      <c r="J108" s="11" t="s">
        <v>101</v>
      </c>
      <c r="K108" s="23" t="n">
        <f aca="false">IF(E108="","",($B$4-E108)/365.25)</f>
        <v>2.49965776865161</v>
      </c>
      <c r="L108" s="11" t="str">
        <f aca="false">IF(K108="","no date",IF(K108&lt;1,"0-1 yrs",IF(K108&lt;2,"1-2 yrs",IF(K108&lt;3,"2-3 yrs",IF(K108&lt;5,"3-5 yrs","5+ yrs")))))</f>
        <v>2-3 yrs</v>
      </c>
      <c r="M108" s="11" t="s">
        <v>101</v>
      </c>
      <c r="N108" s="12" t="str">
        <f aca="false">IF(M108="Yes","Memo flag - not ours / unknown / hold: resolve",IF(OR(COUNTIF(Summary!$C$4:$R$4,H108)&gt;0,AND(A108="Philly",COUNTIF(Summary!$C$5:$R$5,H108)&gt;0),AND(A108="TUR",COUNTIF(Summary!$C$6:$R$6,H108)&gt;0),AND(A108="Leading Edge",COUNTIF(Summary!$C$7:$R$7,H108)&gt;0)),"Fee amount - presumed company revenue",IF(H108&lt;=Summary!$B$8,"Small amount - likely fee, review","Larger amount - likely includes agent commission")))</f>
        <v>Fee amount - presumed company revenue</v>
      </c>
      <c r="O108" s="12" t="n">
        <f aca="false">IFERROR(INDEX('State Rules'!$C$5:$C$11,MATCH($B108,'State Rules'!$A$5:$A$11,0)),"")</f>
        <v>1</v>
      </c>
      <c r="P108" s="22" t="n">
        <f aca="false">IF(OR(O108="",E108=""),"",EDATE(E108,12*O108))</f>
        <v>45753</v>
      </c>
      <c r="Q108" s="22" t="n">
        <f aca="false">IF(E108="","",IFERROR(EDATE(E108,12*INDEX('State Rules'!$E$5:$E$11,MATCH($B108,'State Rules'!$A$5:$A$11,0))),""))</f>
        <v>46483</v>
      </c>
      <c r="R108" s="11" t="str">
        <f aca="false">IF(P108="","",IFERROR(IF(P108&lt;=INDEX('State Rules'!$I$5:$I$11,MATCH($B108,'State Rules'!$A$5:$A$11,0)),"Yes","No"),""))</f>
        <v>Yes</v>
      </c>
      <c r="S108" s="11" t="str">
        <f aca="false">IF(Q108="","",IFERROR(IF(Q108&lt;=INDEX('State Rules'!$I$5:$I$11,MATCH($B108,'State Rules'!$A$5:$A$11,0)),"Yes","No"),""))</f>
        <v>No</v>
      </c>
      <c r="T108" s="8"/>
      <c r="U108" s="8"/>
      <c r="V108" s="24"/>
      <c r="W108" s="24"/>
      <c r="X108" s="24"/>
      <c r="Y108" s="8"/>
      <c r="Z108" s="10" t="n">
        <f aca="false">IF(Q108="","",IF(Q108&lt;=$B$4,N(W108)+N(X108),0))</f>
        <v>0</v>
      </c>
      <c r="AA108" s="10" t="n">
        <f aca="false">IF(OR(LEFT(N108,6)="Larger",LEFT(N108,4)="Memo"),H108,0)</f>
        <v>0</v>
      </c>
      <c r="AB108" s="12" t="str">
        <f aca="false">IFERROR(INDEX('State Rules'!$M$5:$M$11,MATCH($B108,'State Rules'!$A$5:$A$11,0)),"")</f>
        <v>LONG</v>
      </c>
      <c r="AC108" s="22" t="n">
        <f aca="false">IF(AB108="SHORT",P108,IF(AB108="LONG",Q108,""))</f>
        <v>46483</v>
      </c>
      <c r="AD108" s="11" t="str">
        <f aca="false">IF(AB108="SHORT",R108,IF(AB108="LONG",S108,""))</f>
        <v>No</v>
      </c>
    </row>
    <row r="109" customFormat="false" ht="15" hidden="false" customHeight="false" outlineLevel="0" collapsed="false">
      <c r="A109" s="11" t="s">
        <v>42</v>
      </c>
      <c r="B109" s="12" t="str">
        <f aca="false">IF(U109&lt;&gt;"",U109,IFERROR(INDEX(Summary!$B$11:$B$18,MATCH($A109,Summary!$A$11:$A$18,0)),""))</f>
        <v>TX</v>
      </c>
      <c r="C109" s="11" t="s">
        <v>42</v>
      </c>
      <c r="D109" s="11" t="n">
        <v>34</v>
      </c>
      <c r="E109" s="22" t="n">
        <v>45418</v>
      </c>
      <c r="F109" s="11" t="s">
        <v>316</v>
      </c>
      <c r="G109" s="11" t="s">
        <v>308</v>
      </c>
      <c r="H109" s="10" t="n">
        <v>60</v>
      </c>
      <c r="I109" s="11" t="s">
        <v>309</v>
      </c>
      <c r="J109" s="11" t="s">
        <v>101</v>
      </c>
      <c r="K109" s="23" t="n">
        <f aca="false">IF(E109="","",($B$4-E109)/365.25)</f>
        <v>2.41752224503765</v>
      </c>
      <c r="L109" s="11" t="str">
        <f aca="false">IF(K109="","no date",IF(K109&lt;1,"0-1 yrs",IF(K109&lt;2,"1-2 yrs",IF(K109&lt;3,"2-3 yrs",IF(K109&lt;5,"3-5 yrs","5+ yrs")))))</f>
        <v>2-3 yrs</v>
      </c>
      <c r="M109" s="11" t="s">
        <v>101</v>
      </c>
      <c r="N109" s="12" t="str">
        <f aca="false">IF(M109="Yes","Memo flag - not ours / unknown / hold: resolve",IF(OR(COUNTIF(Summary!$C$4:$R$4,H109)&gt;0,AND(A109="Philly",COUNTIF(Summary!$C$5:$R$5,H109)&gt;0),AND(A109="TUR",COUNTIF(Summary!$C$6:$R$6,H109)&gt;0),AND(A109="Leading Edge",COUNTIF(Summary!$C$7:$R$7,H109)&gt;0)),"Fee amount - presumed company revenue",IF(H109&lt;=Summary!$B$8,"Small amount - likely fee, review","Larger amount - likely includes agent commission")))</f>
        <v>Fee amount - presumed company revenue</v>
      </c>
      <c r="O109" s="12" t="n">
        <f aca="false">IFERROR(INDEX('State Rules'!$C$5:$C$11,MATCH($B109,'State Rules'!$A$5:$A$11,0)),"")</f>
        <v>1</v>
      </c>
      <c r="P109" s="22" t="n">
        <f aca="false">IF(OR(O109="",E109=""),"",EDATE(E109,12*O109))</f>
        <v>45783</v>
      </c>
      <c r="Q109" s="22" t="n">
        <f aca="false">IF(E109="","",IFERROR(EDATE(E109,12*INDEX('State Rules'!$E$5:$E$11,MATCH($B109,'State Rules'!$A$5:$A$11,0))),""))</f>
        <v>46513</v>
      </c>
      <c r="R109" s="11" t="str">
        <f aca="false">IF(P109="","",IFERROR(IF(P109&lt;=INDEX('State Rules'!$I$5:$I$11,MATCH($B109,'State Rules'!$A$5:$A$11,0)),"Yes","No"),""))</f>
        <v>Yes</v>
      </c>
      <c r="S109" s="11" t="str">
        <f aca="false">IF(Q109="","",IFERROR(IF(Q109&lt;=INDEX('State Rules'!$I$5:$I$11,MATCH($B109,'State Rules'!$A$5:$A$11,0)),"Yes","No"),""))</f>
        <v>No</v>
      </c>
      <c r="T109" s="8"/>
      <c r="U109" s="8"/>
      <c r="V109" s="24"/>
      <c r="W109" s="24"/>
      <c r="X109" s="24"/>
      <c r="Y109" s="8"/>
      <c r="Z109" s="10" t="n">
        <f aca="false">IF(Q109="","",IF(Q109&lt;=$B$4,N(W109)+N(X109),0))</f>
        <v>0</v>
      </c>
      <c r="AA109" s="10" t="n">
        <f aca="false">IF(OR(LEFT(N109,6)="Larger",LEFT(N109,4)="Memo"),H109,0)</f>
        <v>0</v>
      </c>
      <c r="AB109" s="12" t="str">
        <f aca="false">IFERROR(INDEX('State Rules'!$M$5:$M$11,MATCH($B109,'State Rules'!$A$5:$A$11,0)),"")</f>
        <v>LONG</v>
      </c>
      <c r="AC109" s="22" t="n">
        <f aca="false">IF(AB109="SHORT",P109,IF(AB109="LONG",Q109,""))</f>
        <v>46513</v>
      </c>
      <c r="AD109" s="11" t="str">
        <f aca="false">IF(AB109="SHORT",R109,IF(AB109="LONG",S109,""))</f>
        <v>No</v>
      </c>
    </row>
    <row r="110" customFormat="false" ht="15" hidden="false" customHeight="false" outlineLevel="0" collapsed="false">
      <c r="A110" s="11" t="s">
        <v>42</v>
      </c>
      <c r="B110" s="12" t="str">
        <f aca="false">IF(U110&lt;&gt;"",U110,IFERROR(INDEX(Summary!$B$11:$B$18,MATCH($A110,Summary!$A$11:$A$18,0)),""))</f>
        <v>TX</v>
      </c>
      <c r="C110" s="11" t="s">
        <v>42</v>
      </c>
      <c r="D110" s="11" t="n">
        <v>35</v>
      </c>
      <c r="E110" s="22" t="n">
        <v>45454</v>
      </c>
      <c r="F110" s="11" t="s">
        <v>317</v>
      </c>
      <c r="G110" s="11" t="s">
        <v>241</v>
      </c>
      <c r="H110" s="10" t="n">
        <v>644</v>
      </c>
      <c r="I110" s="11"/>
      <c r="J110" s="11" t="s">
        <v>101</v>
      </c>
      <c r="K110" s="23" t="n">
        <f aca="false">IF(E110="","",($B$4-E110)/365.25)</f>
        <v>2.31895961670089</v>
      </c>
      <c r="L110" s="11" t="str">
        <f aca="false">IF(K110="","no date",IF(K110&lt;1,"0-1 yrs",IF(K110&lt;2,"1-2 yrs",IF(K110&lt;3,"2-3 yrs",IF(K110&lt;5,"3-5 yrs","5+ yrs")))))</f>
        <v>2-3 yrs</v>
      </c>
      <c r="M110" s="11" t="s">
        <v>101</v>
      </c>
      <c r="N110" s="12" t="str">
        <f aca="false">IF(M110="Yes","Memo flag - not ours / unknown / hold: resolve",IF(OR(COUNTIF(Summary!$C$4:$R$4,H110)&gt;0,AND(A110="Philly",COUNTIF(Summary!$C$5:$R$5,H110)&gt;0),AND(A110="TUR",COUNTIF(Summary!$C$6:$R$6,H110)&gt;0),AND(A110="Leading Edge",COUNTIF(Summary!$C$7:$R$7,H110)&gt;0)),"Fee amount - presumed company revenue",IF(H110&lt;=Summary!$B$8,"Small amount - likely fee, review","Larger amount - likely includes agent commission")))</f>
        <v>Fee amount - presumed company revenue</v>
      </c>
      <c r="O110" s="12" t="n">
        <f aca="false">IFERROR(INDEX('State Rules'!$C$5:$C$11,MATCH($B110,'State Rules'!$A$5:$A$11,0)),"")</f>
        <v>1</v>
      </c>
      <c r="P110" s="22" t="n">
        <f aca="false">IF(OR(O110="",E110=""),"",EDATE(E110,12*O110))</f>
        <v>45819</v>
      </c>
      <c r="Q110" s="22" t="n">
        <f aca="false">IF(E110="","",IFERROR(EDATE(E110,12*INDEX('State Rules'!$E$5:$E$11,MATCH($B110,'State Rules'!$A$5:$A$11,0))),""))</f>
        <v>46549</v>
      </c>
      <c r="R110" s="11" t="str">
        <f aca="false">IF(P110="","",IFERROR(IF(P110&lt;=INDEX('State Rules'!$I$5:$I$11,MATCH($B110,'State Rules'!$A$5:$A$11,0)),"Yes","No"),""))</f>
        <v>Yes</v>
      </c>
      <c r="S110" s="11" t="str">
        <f aca="false">IF(Q110="","",IFERROR(IF(Q110&lt;=INDEX('State Rules'!$I$5:$I$11,MATCH($B110,'State Rules'!$A$5:$A$11,0)),"Yes","No"),""))</f>
        <v>No</v>
      </c>
      <c r="T110" s="8"/>
      <c r="U110" s="8"/>
      <c r="V110" s="24"/>
      <c r="W110" s="24"/>
      <c r="X110" s="24"/>
      <c r="Y110" s="8"/>
      <c r="Z110" s="10" t="n">
        <f aca="false">IF(Q110="","",IF(Q110&lt;=$B$4,N(W110)+N(X110),0))</f>
        <v>0</v>
      </c>
      <c r="AA110" s="10" t="n">
        <f aca="false">IF(OR(LEFT(N110,6)="Larger",LEFT(N110,4)="Memo"),H110,0)</f>
        <v>0</v>
      </c>
      <c r="AB110" s="12" t="str">
        <f aca="false">IFERROR(INDEX('State Rules'!$M$5:$M$11,MATCH($B110,'State Rules'!$A$5:$A$11,0)),"")</f>
        <v>LONG</v>
      </c>
      <c r="AC110" s="22" t="n">
        <f aca="false">IF(AB110="SHORT",P110,IF(AB110="LONG",Q110,""))</f>
        <v>46549</v>
      </c>
      <c r="AD110" s="11" t="str">
        <f aca="false">IF(AB110="SHORT",R110,IF(AB110="LONG",S110,""))</f>
        <v>No</v>
      </c>
    </row>
    <row r="111" customFormat="false" ht="15" hidden="false" customHeight="false" outlineLevel="0" collapsed="false">
      <c r="A111" s="11" t="s">
        <v>42</v>
      </c>
      <c r="B111" s="12" t="str">
        <f aca="false">IF(U111&lt;&gt;"",U111,IFERROR(INDEX(Summary!$B$11:$B$18,MATCH($A111,Summary!$A$11:$A$18,0)),""))</f>
        <v>TX</v>
      </c>
      <c r="C111" s="11" t="s">
        <v>42</v>
      </c>
      <c r="D111" s="11" t="n">
        <v>36</v>
      </c>
      <c r="E111" s="22" t="n">
        <v>45469</v>
      </c>
      <c r="F111" s="11" t="s">
        <v>318</v>
      </c>
      <c r="G111" s="11" t="s">
        <v>241</v>
      </c>
      <c r="H111" s="10" t="n">
        <v>644</v>
      </c>
      <c r="I111" s="11"/>
      <c r="J111" s="11" t="s">
        <v>101</v>
      </c>
      <c r="K111" s="23" t="n">
        <f aca="false">IF(E111="","",($B$4-E111)/365.25)</f>
        <v>2.27789185489391</v>
      </c>
      <c r="L111" s="11" t="str">
        <f aca="false">IF(K111="","no date",IF(K111&lt;1,"0-1 yrs",IF(K111&lt;2,"1-2 yrs",IF(K111&lt;3,"2-3 yrs",IF(K111&lt;5,"3-5 yrs","5+ yrs")))))</f>
        <v>2-3 yrs</v>
      </c>
      <c r="M111" s="11" t="s">
        <v>101</v>
      </c>
      <c r="N111" s="12" t="str">
        <f aca="false">IF(M111="Yes","Memo flag - not ours / unknown / hold: resolve",IF(OR(COUNTIF(Summary!$C$4:$R$4,H111)&gt;0,AND(A111="Philly",COUNTIF(Summary!$C$5:$R$5,H111)&gt;0),AND(A111="TUR",COUNTIF(Summary!$C$6:$R$6,H111)&gt;0),AND(A111="Leading Edge",COUNTIF(Summary!$C$7:$R$7,H111)&gt;0)),"Fee amount - presumed company revenue",IF(H111&lt;=Summary!$B$8,"Small amount - likely fee, review","Larger amount - likely includes agent commission")))</f>
        <v>Fee amount - presumed company revenue</v>
      </c>
      <c r="O111" s="12" t="n">
        <f aca="false">IFERROR(INDEX('State Rules'!$C$5:$C$11,MATCH($B111,'State Rules'!$A$5:$A$11,0)),"")</f>
        <v>1</v>
      </c>
      <c r="P111" s="22" t="n">
        <f aca="false">IF(OR(O111="",E111=""),"",EDATE(E111,12*O111))</f>
        <v>45834</v>
      </c>
      <c r="Q111" s="22" t="n">
        <f aca="false">IF(E111="","",IFERROR(EDATE(E111,12*INDEX('State Rules'!$E$5:$E$11,MATCH($B111,'State Rules'!$A$5:$A$11,0))),""))</f>
        <v>46564</v>
      </c>
      <c r="R111" s="11" t="str">
        <f aca="false">IF(P111="","",IFERROR(IF(P111&lt;=INDEX('State Rules'!$I$5:$I$11,MATCH($B111,'State Rules'!$A$5:$A$11,0)),"Yes","No"),""))</f>
        <v>Yes</v>
      </c>
      <c r="S111" s="11" t="str">
        <f aca="false">IF(Q111="","",IFERROR(IF(Q111&lt;=INDEX('State Rules'!$I$5:$I$11,MATCH($B111,'State Rules'!$A$5:$A$11,0)),"Yes","No"),""))</f>
        <v>No</v>
      </c>
      <c r="T111" s="8"/>
      <c r="U111" s="8"/>
      <c r="V111" s="24"/>
      <c r="W111" s="24"/>
      <c r="X111" s="24"/>
      <c r="Y111" s="8"/>
      <c r="Z111" s="10" t="n">
        <f aca="false">IF(Q111="","",IF(Q111&lt;=$B$4,N(W111)+N(X111),0))</f>
        <v>0</v>
      </c>
      <c r="AA111" s="10" t="n">
        <f aca="false">IF(OR(LEFT(N111,6)="Larger",LEFT(N111,4)="Memo"),H111,0)</f>
        <v>0</v>
      </c>
      <c r="AB111" s="12" t="str">
        <f aca="false">IFERROR(INDEX('State Rules'!$M$5:$M$11,MATCH($B111,'State Rules'!$A$5:$A$11,0)),"")</f>
        <v>LONG</v>
      </c>
      <c r="AC111" s="22" t="n">
        <f aca="false">IF(AB111="SHORT",P111,IF(AB111="LONG",Q111,""))</f>
        <v>46564</v>
      </c>
      <c r="AD111" s="11" t="str">
        <f aca="false">IF(AB111="SHORT",R111,IF(AB111="LONG",S111,""))</f>
        <v>No</v>
      </c>
    </row>
    <row r="112" customFormat="false" ht="15" hidden="false" customHeight="false" outlineLevel="0" collapsed="false">
      <c r="A112" s="11" t="s">
        <v>42</v>
      </c>
      <c r="B112" s="12" t="str">
        <f aca="false">IF(U112&lt;&gt;"",U112,IFERROR(INDEX(Summary!$B$11:$B$18,MATCH($A112,Summary!$A$11:$A$18,0)),""))</f>
        <v>TX</v>
      </c>
      <c r="C112" s="11" t="s">
        <v>42</v>
      </c>
      <c r="D112" s="11" t="n">
        <v>37</v>
      </c>
      <c r="E112" s="22" t="n">
        <v>45491</v>
      </c>
      <c r="F112" s="11" t="s">
        <v>319</v>
      </c>
      <c r="G112" s="11" t="s">
        <v>320</v>
      </c>
      <c r="H112" s="10" t="n">
        <v>644</v>
      </c>
      <c r="I112" s="11"/>
      <c r="J112" s="11" t="s">
        <v>101</v>
      </c>
      <c r="K112" s="23" t="n">
        <f aca="false">IF(E112="","",($B$4-E112)/365.25)</f>
        <v>2.217659137577</v>
      </c>
      <c r="L112" s="11" t="str">
        <f aca="false">IF(K112="","no date",IF(K112&lt;1,"0-1 yrs",IF(K112&lt;2,"1-2 yrs",IF(K112&lt;3,"2-3 yrs",IF(K112&lt;5,"3-5 yrs","5+ yrs")))))</f>
        <v>2-3 yrs</v>
      </c>
      <c r="M112" s="11" t="s">
        <v>101</v>
      </c>
      <c r="N112" s="12" t="str">
        <f aca="false">IF(M112="Yes","Memo flag - not ours / unknown / hold: resolve",IF(OR(COUNTIF(Summary!$C$4:$R$4,H112)&gt;0,AND(A112="Philly",COUNTIF(Summary!$C$5:$R$5,H112)&gt;0),AND(A112="TUR",COUNTIF(Summary!$C$6:$R$6,H112)&gt;0),AND(A112="Leading Edge",COUNTIF(Summary!$C$7:$R$7,H112)&gt;0)),"Fee amount - presumed company revenue",IF(H112&lt;=Summary!$B$8,"Small amount - likely fee, review","Larger amount - likely includes agent commission")))</f>
        <v>Fee amount - presumed company revenue</v>
      </c>
      <c r="O112" s="12" t="n">
        <f aca="false">IFERROR(INDEX('State Rules'!$C$5:$C$11,MATCH($B112,'State Rules'!$A$5:$A$11,0)),"")</f>
        <v>1</v>
      </c>
      <c r="P112" s="22" t="n">
        <f aca="false">IF(OR(O112="",E112=""),"",EDATE(E112,12*O112))</f>
        <v>45856</v>
      </c>
      <c r="Q112" s="22" t="n">
        <f aca="false">IF(E112="","",IFERROR(EDATE(E112,12*INDEX('State Rules'!$E$5:$E$11,MATCH($B112,'State Rules'!$A$5:$A$11,0))),""))</f>
        <v>46586</v>
      </c>
      <c r="R112" s="11" t="str">
        <f aca="false">IF(P112="","",IFERROR(IF(P112&lt;=INDEX('State Rules'!$I$5:$I$11,MATCH($B112,'State Rules'!$A$5:$A$11,0)),"Yes","No"),""))</f>
        <v>Yes</v>
      </c>
      <c r="S112" s="11" t="str">
        <f aca="false">IF(Q112="","",IFERROR(IF(Q112&lt;=INDEX('State Rules'!$I$5:$I$11,MATCH($B112,'State Rules'!$A$5:$A$11,0)),"Yes","No"),""))</f>
        <v>No</v>
      </c>
      <c r="T112" s="8"/>
      <c r="U112" s="8"/>
      <c r="V112" s="24"/>
      <c r="W112" s="24"/>
      <c r="X112" s="24"/>
      <c r="Y112" s="8"/>
      <c r="Z112" s="10" t="n">
        <f aca="false">IF(Q112="","",IF(Q112&lt;=$B$4,N(W112)+N(X112),0))</f>
        <v>0</v>
      </c>
      <c r="AA112" s="10" t="n">
        <f aca="false">IF(OR(LEFT(N112,6)="Larger",LEFT(N112,4)="Memo"),H112,0)</f>
        <v>0</v>
      </c>
      <c r="AB112" s="12" t="str">
        <f aca="false">IFERROR(INDEX('State Rules'!$M$5:$M$11,MATCH($B112,'State Rules'!$A$5:$A$11,0)),"")</f>
        <v>LONG</v>
      </c>
      <c r="AC112" s="22" t="n">
        <f aca="false">IF(AB112="SHORT",P112,IF(AB112="LONG",Q112,""))</f>
        <v>46586</v>
      </c>
      <c r="AD112" s="11" t="str">
        <f aca="false">IF(AB112="SHORT",R112,IF(AB112="LONG",S112,""))</f>
        <v>No</v>
      </c>
    </row>
    <row r="113" customFormat="false" ht="15" hidden="false" customHeight="false" outlineLevel="0" collapsed="false">
      <c r="A113" s="11" t="s">
        <v>42</v>
      </c>
      <c r="B113" s="12" t="str">
        <f aca="false">IF(U113&lt;&gt;"",U113,IFERROR(INDEX(Summary!$B$11:$B$18,MATCH($A113,Summary!$A$11:$A$18,0)),""))</f>
        <v>TX</v>
      </c>
      <c r="C113" s="11" t="s">
        <v>42</v>
      </c>
      <c r="D113" s="11" t="n">
        <v>38</v>
      </c>
      <c r="E113" s="22" t="n">
        <v>45495</v>
      </c>
      <c r="F113" s="11" t="s">
        <v>321</v>
      </c>
      <c r="G113" s="11" t="s">
        <v>320</v>
      </c>
      <c r="H113" s="10" t="n">
        <v>644</v>
      </c>
      <c r="I113" s="11"/>
      <c r="J113" s="11" t="s">
        <v>101</v>
      </c>
      <c r="K113" s="23" t="n">
        <f aca="false">IF(E113="","",($B$4-E113)/365.25)</f>
        <v>2.20670773442847</v>
      </c>
      <c r="L113" s="11" t="str">
        <f aca="false">IF(K113="","no date",IF(K113&lt;1,"0-1 yrs",IF(K113&lt;2,"1-2 yrs",IF(K113&lt;3,"2-3 yrs",IF(K113&lt;5,"3-5 yrs","5+ yrs")))))</f>
        <v>2-3 yrs</v>
      </c>
      <c r="M113" s="11" t="s">
        <v>101</v>
      </c>
      <c r="N113" s="12" t="str">
        <f aca="false">IF(M113="Yes","Memo flag - not ours / unknown / hold: resolve",IF(OR(COUNTIF(Summary!$C$4:$R$4,H113)&gt;0,AND(A113="Philly",COUNTIF(Summary!$C$5:$R$5,H113)&gt;0),AND(A113="TUR",COUNTIF(Summary!$C$6:$R$6,H113)&gt;0),AND(A113="Leading Edge",COUNTIF(Summary!$C$7:$R$7,H113)&gt;0)),"Fee amount - presumed company revenue",IF(H113&lt;=Summary!$B$8,"Small amount - likely fee, review","Larger amount - likely includes agent commission")))</f>
        <v>Fee amount - presumed company revenue</v>
      </c>
      <c r="O113" s="12" t="n">
        <f aca="false">IFERROR(INDEX('State Rules'!$C$5:$C$11,MATCH($B113,'State Rules'!$A$5:$A$11,0)),"")</f>
        <v>1</v>
      </c>
      <c r="P113" s="22" t="n">
        <f aca="false">IF(OR(O113="",E113=""),"",EDATE(E113,12*O113))</f>
        <v>45860</v>
      </c>
      <c r="Q113" s="22" t="n">
        <f aca="false">IF(E113="","",IFERROR(EDATE(E113,12*INDEX('State Rules'!$E$5:$E$11,MATCH($B113,'State Rules'!$A$5:$A$11,0))),""))</f>
        <v>46590</v>
      </c>
      <c r="R113" s="11" t="str">
        <f aca="false">IF(P113="","",IFERROR(IF(P113&lt;=INDEX('State Rules'!$I$5:$I$11,MATCH($B113,'State Rules'!$A$5:$A$11,0)),"Yes","No"),""))</f>
        <v>Yes</v>
      </c>
      <c r="S113" s="11" t="str">
        <f aca="false">IF(Q113="","",IFERROR(IF(Q113&lt;=INDEX('State Rules'!$I$5:$I$11,MATCH($B113,'State Rules'!$A$5:$A$11,0)),"Yes","No"),""))</f>
        <v>No</v>
      </c>
      <c r="T113" s="8"/>
      <c r="U113" s="8"/>
      <c r="V113" s="24"/>
      <c r="W113" s="24"/>
      <c r="X113" s="24"/>
      <c r="Y113" s="8"/>
      <c r="Z113" s="10" t="n">
        <f aca="false">IF(Q113="","",IF(Q113&lt;=$B$4,N(W113)+N(X113),0))</f>
        <v>0</v>
      </c>
      <c r="AA113" s="10" t="n">
        <f aca="false">IF(OR(LEFT(N113,6)="Larger",LEFT(N113,4)="Memo"),H113,0)</f>
        <v>0</v>
      </c>
      <c r="AB113" s="12" t="str">
        <f aca="false">IFERROR(INDEX('State Rules'!$M$5:$M$11,MATCH($B113,'State Rules'!$A$5:$A$11,0)),"")</f>
        <v>LONG</v>
      </c>
      <c r="AC113" s="22" t="n">
        <f aca="false">IF(AB113="SHORT",P113,IF(AB113="LONG",Q113,""))</f>
        <v>46590</v>
      </c>
      <c r="AD113" s="11" t="str">
        <f aca="false">IF(AB113="SHORT",R113,IF(AB113="LONG",S113,""))</f>
        <v>No</v>
      </c>
    </row>
    <row r="114" customFormat="false" ht="15" hidden="false" customHeight="false" outlineLevel="0" collapsed="false">
      <c r="A114" s="11" t="s">
        <v>42</v>
      </c>
      <c r="B114" s="12" t="str">
        <f aca="false">IF(U114&lt;&gt;"",U114,IFERROR(INDEX(Summary!$B$11:$B$18,MATCH($A114,Summary!$A$11:$A$18,0)),""))</f>
        <v>TX</v>
      </c>
      <c r="C114" s="11" t="s">
        <v>42</v>
      </c>
      <c r="D114" s="11" t="n">
        <v>39</v>
      </c>
      <c r="E114" s="22" t="n">
        <v>45502</v>
      </c>
      <c r="F114" s="11" t="s">
        <v>322</v>
      </c>
      <c r="G114" s="11" t="s">
        <v>323</v>
      </c>
      <c r="H114" s="10" t="n">
        <v>2819.94</v>
      </c>
      <c r="I114" s="11"/>
      <c r="J114" s="11" t="s">
        <v>101</v>
      </c>
      <c r="K114" s="23" t="n">
        <f aca="false">IF(E114="","",($B$4-E114)/365.25)</f>
        <v>2.18754277891855</v>
      </c>
      <c r="L114" s="11" t="str">
        <f aca="false">IF(K114="","no date",IF(K114&lt;1,"0-1 yrs",IF(K114&lt;2,"1-2 yrs",IF(K114&lt;3,"2-3 yrs",IF(K114&lt;5,"3-5 yrs","5+ yrs")))))</f>
        <v>2-3 yrs</v>
      </c>
      <c r="M114" s="11" t="s">
        <v>101</v>
      </c>
      <c r="N114" s="12" t="str">
        <f aca="false">IF(M114="Yes","Memo flag - not ours / unknown / hold: resolve",IF(OR(COUNTIF(Summary!$C$4:$R$4,H114)&gt;0,AND(A114="Philly",COUNTIF(Summary!$C$5:$R$5,H114)&gt;0),AND(A114="TUR",COUNTIF(Summary!$C$6:$R$6,H114)&gt;0),AND(A114="Leading Edge",COUNTIF(Summary!$C$7:$R$7,H114)&gt;0)),"Fee amount - presumed company revenue",IF(H114&lt;=Summary!$B$8,"Small amount - likely fee, review","Larger amount - likely includes agent commission")))</f>
        <v>Larger amount - likely includes agent commission</v>
      </c>
      <c r="O114" s="12" t="n">
        <f aca="false">IFERROR(INDEX('State Rules'!$C$5:$C$11,MATCH($B114,'State Rules'!$A$5:$A$11,0)),"")</f>
        <v>1</v>
      </c>
      <c r="P114" s="22" t="n">
        <f aca="false">IF(OR(O114="",E114=""),"",EDATE(E114,12*O114))</f>
        <v>45867</v>
      </c>
      <c r="Q114" s="22" t="n">
        <f aca="false">IF(E114="","",IFERROR(EDATE(E114,12*INDEX('State Rules'!$E$5:$E$11,MATCH($B114,'State Rules'!$A$5:$A$11,0))),""))</f>
        <v>46597</v>
      </c>
      <c r="R114" s="11" t="str">
        <f aca="false">IF(P114="","",IFERROR(IF(P114&lt;=INDEX('State Rules'!$I$5:$I$11,MATCH($B114,'State Rules'!$A$5:$A$11,0)),"Yes","No"),""))</f>
        <v>Yes</v>
      </c>
      <c r="S114" s="11" t="str">
        <f aca="false">IF(Q114="","",IFERROR(IF(Q114&lt;=INDEX('State Rules'!$I$5:$I$11,MATCH($B114,'State Rules'!$A$5:$A$11,0)),"Yes","No"),""))</f>
        <v>No</v>
      </c>
      <c r="T114" s="8"/>
      <c r="U114" s="8"/>
      <c r="V114" s="24"/>
      <c r="W114" s="24"/>
      <c r="X114" s="24"/>
      <c r="Y114" s="8"/>
      <c r="Z114" s="10" t="n">
        <f aca="false">IF(Q114="","",IF(Q114&lt;=$B$4,N(W114)+N(X114),0))</f>
        <v>0</v>
      </c>
      <c r="AA114" s="10" t="n">
        <f aca="false">IF(OR(LEFT(N114,6)="Larger",LEFT(N114,4)="Memo"),H114,0)</f>
        <v>2819.94</v>
      </c>
      <c r="AB114" s="12" t="str">
        <f aca="false">IFERROR(INDEX('State Rules'!$M$5:$M$11,MATCH($B114,'State Rules'!$A$5:$A$11,0)),"")</f>
        <v>LONG</v>
      </c>
      <c r="AC114" s="22" t="n">
        <f aca="false">IF(AB114="SHORT",P114,IF(AB114="LONG",Q114,""))</f>
        <v>46597</v>
      </c>
      <c r="AD114" s="11" t="str">
        <f aca="false">IF(AB114="SHORT",R114,IF(AB114="LONG",S114,""))</f>
        <v>No</v>
      </c>
    </row>
    <row r="115" customFormat="false" ht="15" hidden="false" customHeight="false" outlineLevel="0" collapsed="false">
      <c r="A115" s="11" t="s">
        <v>42</v>
      </c>
      <c r="B115" s="12" t="str">
        <f aca="false">IF(U115&lt;&gt;"",U115,IFERROR(INDEX(Summary!$B$11:$B$18,MATCH($A115,Summary!$A$11:$A$18,0)),""))</f>
        <v>TX</v>
      </c>
      <c r="C115" s="11" t="s">
        <v>42</v>
      </c>
      <c r="D115" s="11" t="n">
        <v>40</v>
      </c>
      <c r="E115" s="22" t="n">
        <v>45506</v>
      </c>
      <c r="F115" s="11" t="s">
        <v>324</v>
      </c>
      <c r="G115" s="11" t="s">
        <v>325</v>
      </c>
      <c r="H115" s="10" t="n">
        <v>500</v>
      </c>
      <c r="I115" s="11" t="s">
        <v>325</v>
      </c>
      <c r="J115" s="11" t="s">
        <v>101</v>
      </c>
      <c r="K115" s="23" t="n">
        <f aca="false">IF(E115="","",($B$4-E115)/365.25)</f>
        <v>2.17659137577002</v>
      </c>
      <c r="L115" s="11" t="str">
        <f aca="false">IF(K115="","no date",IF(K115&lt;1,"0-1 yrs",IF(K115&lt;2,"1-2 yrs",IF(K115&lt;3,"2-3 yrs",IF(K115&lt;5,"3-5 yrs","5+ yrs")))))</f>
        <v>2-3 yrs</v>
      </c>
      <c r="M115" s="11" t="s">
        <v>101</v>
      </c>
      <c r="N115" s="12" t="str">
        <f aca="false">IF(M115="Yes","Memo flag - not ours / unknown / hold: resolve",IF(OR(COUNTIF(Summary!$C$4:$R$4,H115)&gt;0,AND(A115="Philly",COUNTIF(Summary!$C$5:$R$5,H115)&gt;0),AND(A115="TUR",COUNTIF(Summary!$C$6:$R$6,H115)&gt;0),AND(A115="Leading Edge",COUNTIF(Summary!$C$7:$R$7,H115)&gt;0)),"Fee amount - presumed company revenue",IF(H115&lt;=Summary!$B$8,"Small amount - likely fee, review","Larger amount - likely includes agent commission")))</f>
        <v>Larger amount - likely includes agent commission</v>
      </c>
      <c r="O115" s="12" t="n">
        <f aca="false">IFERROR(INDEX('State Rules'!$C$5:$C$11,MATCH($B115,'State Rules'!$A$5:$A$11,0)),"")</f>
        <v>1</v>
      </c>
      <c r="P115" s="22" t="n">
        <f aca="false">IF(OR(O115="",E115=""),"",EDATE(E115,12*O115))</f>
        <v>45871</v>
      </c>
      <c r="Q115" s="22" t="n">
        <f aca="false">IF(E115="","",IFERROR(EDATE(E115,12*INDEX('State Rules'!$E$5:$E$11,MATCH($B115,'State Rules'!$A$5:$A$11,0))),""))</f>
        <v>46601</v>
      </c>
      <c r="R115" s="11" t="str">
        <f aca="false">IF(P115="","",IFERROR(IF(P115&lt;=INDEX('State Rules'!$I$5:$I$11,MATCH($B115,'State Rules'!$A$5:$A$11,0)),"Yes","No"),""))</f>
        <v>Yes</v>
      </c>
      <c r="S115" s="11" t="str">
        <f aca="false">IF(Q115="","",IFERROR(IF(Q115&lt;=INDEX('State Rules'!$I$5:$I$11,MATCH($B115,'State Rules'!$A$5:$A$11,0)),"Yes","No"),""))</f>
        <v>No</v>
      </c>
      <c r="T115" s="8"/>
      <c r="U115" s="8"/>
      <c r="V115" s="24"/>
      <c r="W115" s="24"/>
      <c r="X115" s="24"/>
      <c r="Y115" s="8"/>
      <c r="Z115" s="10" t="n">
        <f aca="false">IF(Q115="","",IF(Q115&lt;=$B$4,N(W115)+N(X115),0))</f>
        <v>0</v>
      </c>
      <c r="AA115" s="10" t="n">
        <f aca="false">IF(OR(LEFT(N115,6)="Larger",LEFT(N115,4)="Memo"),H115,0)</f>
        <v>500</v>
      </c>
      <c r="AB115" s="12" t="str">
        <f aca="false">IFERROR(INDEX('State Rules'!$M$5:$M$11,MATCH($B115,'State Rules'!$A$5:$A$11,0)),"")</f>
        <v>LONG</v>
      </c>
      <c r="AC115" s="22" t="n">
        <f aca="false">IF(AB115="SHORT",P115,IF(AB115="LONG",Q115,""))</f>
        <v>46601</v>
      </c>
      <c r="AD115" s="11" t="str">
        <f aca="false">IF(AB115="SHORT",R115,IF(AB115="LONG",S115,""))</f>
        <v>No</v>
      </c>
    </row>
    <row r="116" customFormat="false" ht="15" hidden="false" customHeight="false" outlineLevel="0" collapsed="false">
      <c r="A116" s="11" t="s">
        <v>42</v>
      </c>
      <c r="B116" s="12" t="str">
        <f aca="false">IF(U116&lt;&gt;"",U116,IFERROR(INDEX(Summary!$B$11:$B$18,MATCH($A116,Summary!$A$11:$A$18,0)),""))</f>
        <v>TX</v>
      </c>
      <c r="C116" s="11" t="s">
        <v>42</v>
      </c>
      <c r="D116" s="11" t="n">
        <v>41</v>
      </c>
      <c r="E116" s="22" t="n">
        <v>45518</v>
      </c>
      <c r="F116" s="11" t="s">
        <v>326</v>
      </c>
      <c r="G116" s="11"/>
      <c r="H116" s="10" t="n">
        <v>1100</v>
      </c>
      <c r="I116" s="11" t="s">
        <v>327</v>
      </c>
      <c r="J116" s="11" t="s">
        <v>101</v>
      </c>
      <c r="K116" s="23" t="n">
        <f aca="false">IF(E116="","",($B$4-E116)/365.25)</f>
        <v>2.14373716632444</v>
      </c>
      <c r="L116" s="11" t="str">
        <f aca="false">IF(K116="","no date",IF(K116&lt;1,"0-1 yrs",IF(K116&lt;2,"1-2 yrs",IF(K116&lt;3,"2-3 yrs",IF(K116&lt;5,"3-5 yrs","5+ yrs")))))</f>
        <v>2-3 yrs</v>
      </c>
      <c r="M116" s="11" t="s">
        <v>101</v>
      </c>
      <c r="N116" s="12" t="str">
        <f aca="false">IF(M116="Yes","Memo flag - not ours / unknown / hold: resolve",IF(OR(COUNTIF(Summary!$C$4:$R$4,H116)&gt;0,AND(A116="Philly",COUNTIF(Summary!$C$5:$R$5,H116)&gt;0),AND(A116="TUR",COUNTIF(Summary!$C$6:$R$6,H116)&gt;0),AND(A116="Leading Edge",COUNTIF(Summary!$C$7:$R$7,H116)&gt;0)),"Fee amount - presumed company revenue",IF(H116&lt;=Summary!$B$8,"Small amount - likely fee, review","Larger amount - likely includes agent commission")))</f>
        <v>Larger amount - likely includes agent commission</v>
      </c>
      <c r="O116" s="12" t="n">
        <f aca="false">IFERROR(INDEX('State Rules'!$C$5:$C$11,MATCH($B116,'State Rules'!$A$5:$A$11,0)),"")</f>
        <v>1</v>
      </c>
      <c r="P116" s="22" t="n">
        <f aca="false">IF(OR(O116="",E116=""),"",EDATE(E116,12*O116))</f>
        <v>45883</v>
      </c>
      <c r="Q116" s="22" t="n">
        <f aca="false">IF(E116="","",IFERROR(EDATE(E116,12*INDEX('State Rules'!$E$5:$E$11,MATCH($B116,'State Rules'!$A$5:$A$11,0))),""))</f>
        <v>46613</v>
      </c>
      <c r="R116" s="11" t="str">
        <f aca="false">IF(P116="","",IFERROR(IF(P116&lt;=INDEX('State Rules'!$I$5:$I$11,MATCH($B116,'State Rules'!$A$5:$A$11,0)),"Yes","No"),""))</f>
        <v>Yes</v>
      </c>
      <c r="S116" s="11" t="str">
        <f aca="false">IF(Q116="","",IFERROR(IF(Q116&lt;=INDEX('State Rules'!$I$5:$I$11,MATCH($B116,'State Rules'!$A$5:$A$11,0)),"Yes","No"),""))</f>
        <v>No</v>
      </c>
      <c r="T116" s="8"/>
      <c r="U116" s="8"/>
      <c r="V116" s="24"/>
      <c r="W116" s="24"/>
      <c r="X116" s="24"/>
      <c r="Y116" s="8"/>
      <c r="Z116" s="10" t="n">
        <f aca="false">IF(Q116="","",IF(Q116&lt;=$B$4,N(W116)+N(X116),0))</f>
        <v>0</v>
      </c>
      <c r="AA116" s="10" t="n">
        <f aca="false">IF(OR(LEFT(N116,6)="Larger",LEFT(N116,4)="Memo"),H116,0)</f>
        <v>1100</v>
      </c>
      <c r="AB116" s="12" t="str">
        <f aca="false">IFERROR(INDEX('State Rules'!$M$5:$M$11,MATCH($B116,'State Rules'!$A$5:$A$11,0)),"")</f>
        <v>LONG</v>
      </c>
      <c r="AC116" s="22" t="n">
        <f aca="false">IF(AB116="SHORT",P116,IF(AB116="LONG",Q116,""))</f>
        <v>46613</v>
      </c>
      <c r="AD116" s="11" t="str">
        <f aca="false">IF(AB116="SHORT",R116,IF(AB116="LONG",S116,""))</f>
        <v>No</v>
      </c>
    </row>
    <row r="117" customFormat="false" ht="15" hidden="false" customHeight="false" outlineLevel="0" collapsed="false">
      <c r="A117" s="11" t="s">
        <v>42</v>
      </c>
      <c r="B117" s="12" t="str">
        <f aca="false">IF(U117&lt;&gt;"",U117,IFERROR(INDEX(Summary!$B$11:$B$18,MATCH($A117,Summary!$A$11:$A$18,0)),""))</f>
        <v>TX</v>
      </c>
      <c r="C117" s="11" t="s">
        <v>42</v>
      </c>
      <c r="D117" s="11" t="n">
        <v>42</v>
      </c>
      <c r="E117" s="22" t="n">
        <v>45524</v>
      </c>
      <c r="F117" s="11" t="s">
        <v>328</v>
      </c>
      <c r="G117" s="11"/>
      <c r="H117" s="10" t="n">
        <v>1074.5</v>
      </c>
      <c r="I117" s="11" t="s">
        <v>329</v>
      </c>
      <c r="J117" s="11" t="s">
        <v>101</v>
      </c>
      <c r="K117" s="23" t="n">
        <f aca="false">IF(E117="","",($B$4-E117)/365.25)</f>
        <v>2.12731006160164</v>
      </c>
      <c r="L117" s="11" t="str">
        <f aca="false">IF(K117="","no date",IF(K117&lt;1,"0-1 yrs",IF(K117&lt;2,"1-2 yrs",IF(K117&lt;3,"2-3 yrs",IF(K117&lt;5,"3-5 yrs","5+ yrs")))))</f>
        <v>2-3 yrs</v>
      </c>
      <c r="M117" s="11" t="s">
        <v>101</v>
      </c>
      <c r="N117" s="12" t="str">
        <f aca="false">IF(M117="Yes","Memo flag - not ours / unknown / hold: resolve",IF(OR(COUNTIF(Summary!$C$4:$R$4,H117)&gt;0,AND(A117="Philly",COUNTIF(Summary!$C$5:$R$5,H117)&gt;0),AND(A117="TUR",COUNTIF(Summary!$C$6:$R$6,H117)&gt;0),AND(A117="Leading Edge",COUNTIF(Summary!$C$7:$R$7,H117)&gt;0)),"Fee amount - presumed company revenue",IF(H117&lt;=Summary!$B$8,"Small amount - likely fee, review","Larger amount - likely includes agent commission")))</f>
        <v>Larger amount - likely includes agent commission</v>
      </c>
      <c r="O117" s="12" t="n">
        <f aca="false">IFERROR(INDEX('State Rules'!$C$5:$C$11,MATCH($B117,'State Rules'!$A$5:$A$11,0)),"")</f>
        <v>1</v>
      </c>
      <c r="P117" s="22" t="n">
        <f aca="false">IF(OR(O117="",E117=""),"",EDATE(E117,12*O117))</f>
        <v>45889</v>
      </c>
      <c r="Q117" s="22" t="n">
        <f aca="false">IF(E117="","",IFERROR(EDATE(E117,12*INDEX('State Rules'!$E$5:$E$11,MATCH($B117,'State Rules'!$A$5:$A$11,0))),""))</f>
        <v>46619</v>
      </c>
      <c r="R117" s="11" t="str">
        <f aca="false">IF(P117="","",IFERROR(IF(P117&lt;=INDEX('State Rules'!$I$5:$I$11,MATCH($B117,'State Rules'!$A$5:$A$11,0)),"Yes","No"),""))</f>
        <v>Yes</v>
      </c>
      <c r="S117" s="11" t="str">
        <f aca="false">IF(Q117="","",IFERROR(IF(Q117&lt;=INDEX('State Rules'!$I$5:$I$11,MATCH($B117,'State Rules'!$A$5:$A$11,0)),"Yes","No"),""))</f>
        <v>No</v>
      </c>
      <c r="T117" s="8"/>
      <c r="U117" s="8"/>
      <c r="V117" s="24"/>
      <c r="W117" s="24"/>
      <c r="X117" s="24"/>
      <c r="Y117" s="8"/>
      <c r="Z117" s="10" t="n">
        <f aca="false">IF(Q117="","",IF(Q117&lt;=$B$4,N(W117)+N(X117),0))</f>
        <v>0</v>
      </c>
      <c r="AA117" s="10" t="n">
        <f aca="false">IF(OR(LEFT(N117,6)="Larger",LEFT(N117,4)="Memo"),H117,0)</f>
        <v>1074.5</v>
      </c>
      <c r="AB117" s="12" t="str">
        <f aca="false">IFERROR(INDEX('State Rules'!$M$5:$M$11,MATCH($B117,'State Rules'!$A$5:$A$11,0)),"")</f>
        <v>LONG</v>
      </c>
      <c r="AC117" s="22" t="n">
        <f aca="false">IF(AB117="SHORT",P117,IF(AB117="LONG",Q117,""))</f>
        <v>46619</v>
      </c>
      <c r="AD117" s="11" t="str">
        <f aca="false">IF(AB117="SHORT",R117,IF(AB117="LONG",S117,""))</f>
        <v>No</v>
      </c>
    </row>
    <row r="118" customFormat="false" ht="15" hidden="false" customHeight="false" outlineLevel="0" collapsed="false">
      <c r="A118" s="11" t="s">
        <v>42</v>
      </c>
      <c r="B118" s="12" t="str">
        <f aca="false">IF(U118&lt;&gt;"",U118,IFERROR(INDEX(Summary!$B$11:$B$18,MATCH($A118,Summary!$A$11:$A$18,0)),""))</f>
        <v>TX</v>
      </c>
      <c r="C118" s="11" t="s">
        <v>42</v>
      </c>
      <c r="D118" s="11" t="n">
        <v>43</v>
      </c>
      <c r="E118" s="22" t="n">
        <v>45539</v>
      </c>
      <c r="F118" s="11" t="s">
        <v>330</v>
      </c>
      <c r="G118" s="11" t="s">
        <v>225</v>
      </c>
      <c r="H118" s="10" t="n">
        <v>250</v>
      </c>
      <c r="I118" s="11"/>
      <c r="J118" s="11" t="s">
        <v>101</v>
      </c>
      <c r="K118" s="23" t="n">
        <f aca="false">IF(E118="","",($B$4-E118)/365.25)</f>
        <v>2.08624229979466</v>
      </c>
      <c r="L118" s="11" t="str">
        <f aca="false">IF(K118="","no date",IF(K118&lt;1,"0-1 yrs",IF(K118&lt;2,"1-2 yrs",IF(K118&lt;3,"2-3 yrs",IF(K118&lt;5,"3-5 yrs","5+ yrs")))))</f>
        <v>2-3 yrs</v>
      </c>
      <c r="M118" s="11" t="s">
        <v>101</v>
      </c>
      <c r="N118" s="12" t="str">
        <f aca="false">IF(M118="Yes","Memo flag - not ours / unknown / hold: resolve",IF(OR(COUNTIF(Summary!$C$4:$R$4,H118)&gt;0,AND(A118="Philly",COUNTIF(Summary!$C$5:$R$5,H118)&gt;0),AND(A118="TUR",COUNTIF(Summary!$C$6:$R$6,H118)&gt;0),AND(A118="Leading Edge",COUNTIF(Summary!$C$7:$R$7,H118)&gt;0)),"Fee amount - presumed company revenue",IF(H118&lt;=Summary!$B$8,"Small amount - likely fee, review","Larger amount - likely includes agent commission")))</f>
        <v>Fee amount - presumed company revenue</v>
      </c>
      <c r="O118" s="12" t="n">
        <f aca="false">IFERROR(INDEX('State Rules'!$C$5:$C$11,MATCH($B118,'State Rules'!$A$5:$A$11,0)),"")</f>
        <v>1</v>
      </c>
      <c r="P118" s="22" t="n">
        <f aca="false">IF(OR(O118="",E118=""),"",EDATE(E118,12*O118))</f>
        <v>45904</v>
      </c>
      <c r="Q118" s="22" t="n">
        <f aca="false">IF(E118="","",IFERROR(EDATE(E118,12*INDEX('State Rules'!$E$5:$E$11,MATCH($B118,'State Rules'!$A$5:$A$11,0))),""))</f>
        <v>46634</v>
      </c>
      <c r="R118" s="11" t="str">
        <f aca="false">IF(P118="","",IFERROR(IF(P118&lt;=INDEX('State Rules'!$I$5:$I$11,MATCH($B118,'State Rules'!$A$5:$A$11,0)),"Yes","No"),""))</f>
        <v>Yes</v>
      </c>
      <c r="S118" s="11" t="str">
        <f aca="false">IF(Q118="","",IFERROR(IF(Q118&lt;=INDEX('State Rules'!$I$5:$I$11,MATCH($B118,'State Rules'!$A$5:$A$11,0)),"Yes","No"),""))</f>
        <v>No</v>
      </c>
      <c r="T118" s="8"/>
      <c r="U118" s="8"/>
      <c r="V118" s="24"/>
      <c r="W118" s="24"/>
      <c r="X118" s="24"/>
      <c r="Y118" s="8"/>
      <c r="Z118" s="10" t="n">
        <f aca="false">IF(Q118="","",IF(Q118&lt;=$B$4,N(W118)+N(X118),0))</f>
        <v>0</v>
      </c>
      <c r="AA118" s="10" t="n">
        <f aca="false">IF(OR(LEFT(N118,6)="Larger",LEFT(N118,4)="Memo"),H118,0)</f>
        <v>0</v>
      </c>
      <c r="AB118" s="12" t="str">
        <f aca="false">IFERROR(INDEX('State Rules'!$M$5:$M$11,MATCH($B118,'State Rules'!$A$5:$A$11,0)),"")</f>
        <v>LONG</v>
      </c>
      <c r="AC118" s="22" t="n">
        <f aca="false">IF(AB118="SHORT",P118,IF(AB118="LONG",Q118,""))</f>
        <v>46634</v>
      </c>
      <c r="AD118" s="11" t="str">
        <f aca="false">IF(AB118="SHORT",R118,IF(AB118="LONG",S118,""))</f>
        <v>No</v>
      </c>
    </row>
    <row r="119" customFormat="false" ht="15" hidden="false" customHeight="false" outlineLevel="0" collapsed="false">
      <c r="A119" s="11" t="s">
        <v>42</v>
      </c>
      <c r="B119" s="12" t="str">
        <f aca="false">IF(U119&lt;&gt;"",U119,IFERROR(INDEX(Summary!$B$11:$B$18,MATCH($A119,Summary!$A$11:$A$18,0)),""))</f>
        <v>TX</v>
      </c>
      <c r="C119" s="11" t="s">
        <v>42</v>
      </c>
      <c r="D119" s="11" t="n">
        <v>44</v>
      </c>
      <c r="E119" s="22" t="n">
        <v>45545</v>
      </c>
      <c r="F119" s="11" t="s">
        <v>331</v>
      </c>
      <c r="G119" s="11" t="s">
        <v>332</v>
      </c>
      <c r="H119" s="10" t="n">
        <v>250</v>
      </c>
      <c r="I119" s="11" t="s">
        <v>333</v>
      </c>
      <c r="J119" s="11" t="s">
        <v>101</v>
      </c>
      <c r="K119" s="23" t="n">
        <f aca="false">IF(E119="","",($B$4-E119)/365.25)</f>
        <v>2.06981519507187</v>
      </c>
      <c r="L119" s="11" t="str">
        <f aca="false">IF(K119="","no date",IF(K119&lt;1,"0-1 yrs",IF(K119&lt;2,"1-2 yrs",IF(K119&lt;3,"2-3 yrs",IF(K119&lt;5,"3-5 yrs","5+ yrs")))))</f>
        <v>2-3 yrs</v>
      </c>
      <c r="M119" s="11" t="s">
        <v>101</v>
      </c>
      <c r="N119" s="12" t="str">
        <f aca="false">IF(M119="Yes","Memo flag - not ours / unknown / hold: resolve",IF(OR(COUNTIF(Summary!$C$4:$R$4,H119)&gt;0,AND(A119="Philly",COUNTIF(Summary!$C$5:$R$5,H119)&gt;0),AND(A119="TUR",COUNTIF(Summary!$C$6:$R$6,H119)&gt;0),AND(A119="Leading Edge",COUNTIF(Summary!$C$7:$R$7,H119)&gt;0)),"Fee amount - presumed company revenue",IF(H119&lt;=Summary!$B$8,"Small amount - likely fee, review","Larger amount - likely includes agent commission")))</f>
        <v>Fee amount - presumed company revenue</v>
      </c>
      <c r="O119" s="12" t="n">
        <f aca="false">IFERROR(INDEX('State Rules'!$C$5:$C$11,MATCH($B119,'State Rules'!$A$5:$A$11,0)),"")</f>
        <v>1</v>
      </c>
      <c r="P119" s="22" t="n">
        <f aca="false">IF(OR(O119="",E119=""),"",EDATE(E119,12*O119))</f>
        <v>45910</v>
      </c>
      <c r="Q119" s="22" t="n">
        <f aca="false">IF(E119="","",IFERROR(EDATE(E119,12*INDEX('State Rules'!$E$5:$E$11,MATCH($B119,'State Rules'!$A$5:$A$11,0))),""))</f>
        <v>46640</v>
      </c>
      <c r="R119" s="11" t="str">
        <f aca="false">IF(P119="","",IFERROR(IF(P119&lt;=INDEX('State Rules'!$I$5:$I$11,MATCH($B119,'State Rules'!$A$5:$A$11,0)),"Yes","No"),""))</f>
        <v>Yes</v>
      </c>
      <c r="S119" s="11" t="str">
        <f aca="false">IF(Q119="","",IFERROR(IF(Q119&lt;=INDEX('State Rules'!$I$5:$I$11,MATCH($B119,'State Rules'!$A$5:$A$11,0)),"Yes","No"),""))</f>
        <v>No</v>
      </c>
      <c r="T119" s="8"/>
      <c r="U119" s="8"/>
      <c r="V119" s="24"/>
      <c r="W119" s="24"/>
      <c r="X119" s="24"/>
      <c r="Y119" s="8"/>
      <c r="Z119" s="10" t="n">
        <f aca="false">IF(Q119="","",IF(Q119&lt;=$B$4,N(W119)+N(X119),0))</f>
        <v>0</v>
      </c>
      <c r="AA119" s="10" t="n">
        <f aca="false">IF(OR(LEFT(N119,6)="Larger",LEFT(N119,4)="Memo"),H119,0)</f>
        <v>0</v>
      </c>
      <c r="AB119" s="12" t="str">
        <f aca="false">IFERROR(INDEX('State Rules'!$M$5:$M$11,MATCH($B119,'State Rules'!$A$5:$A$11,0)),"")</f>
        <v>LONG</v>
      </c>
      <c r="AC119" s="22" t="n">
        <f aca="false">IF(AB119="SHORT",P119,IF(AB119="LONG",Q119,""))</f>
        <v>46640</v>
      </c>
      <c r="AD119" s="11" t="str">
        <f aca="false">IF(AB119="SHORT",R119,IF(AB119="LONG",S119,""))</f>
        <v>No</v>
      </c>
    </row>
    <row r="120" customFormat="false" ht="15" hidden="false" customHeight="false" outlineLevel="0" collapsed="false">
      <c r="A120" s="11" t="s">
        <v>42</v>
      </c>
      <c r="B120" s="12" t="str">
        <f aca="false">IF(U120&lt;&gt;"",U120,IFERROR(INDEX(Summary!$B$11:$B$18,MATCH($A120,Summary!$A$11:$A$18,0)),""))</f>
        <v>TX</v>
      </c>
      <c r="C120" s="11" t="s">
        <v>42</v>
      </c>
      <c r="D120" s="11" t="n">
        <v>45</v>
      </c>
      <c r="E120" s="22" t="n">
        <v>45547</v>
      </c>
      <c r="F120" s="11" t="s">
        <v>334</v>
      </c>
      <c r="G120" s="11"/>
      <c r="H120" s="10" t="n">
        <v>300</v>
      </c>
      <c r="I120" s="11" t="s">
        <v>335</v>
      </c>
      <c r="J120" s="11" t="s">
        <v>101</v>
      </c>
      <c r="K120" s="23" t="n">
        <f aca="false">IF(E120="","",($B$4-E120)/365.25)</f>
        <v>2.0643394934976</v>
      </c>
      <c r="L120" s="11" t="str">
        <f aca="false">IF(K120="","no date",IF(K120&lt;1,"0-1 yrs",IF(K120&lt;2,"1-2 yrs",IF(K120&lt;3,"2-3 yrs",IF(K120&lt;5,"3-5 yrs","5+ yrs")))))</f>
        <v>2-3 yrs</v>
      </c>
      <c r="M120" s="11" t="s">
        <v>101</v>
      </c>
      <c r="N120" s="12" t="str">
        <f aca="false">IF(M120="Yes","Memo flag - not ours / unknown / hold: resolve",IF(OR(COUNTIF(Summary!$C$4:$R$4,H120)&gt;0,AND(A120="Philly",COUNTIF(Summary!$C$5:$R$5,H120)&gt;0),AND(A120="TUR",COUNTIF(Summary!$C$6:$R$6,H120)&gt;0),AND(A120="Leading Edge",COUNTIF(Summary!$C$7:$R$7,H120)&gt;0)),"Fee amount - presumed company revenue",IF(H120&lt;=Summary!$B$8,"Small amount - likely fee, review","Larger amount - likely includes agent commission")))</f>
        <v>Larger amount - likely includes agent commission</v>
      </c>
      <c r="O120" s="12" t="n">
        <f aca="false">IFERROR(INDEX('State Rules'!$C$5:$C$11,MATCH($B120,'State Rules'!$A$5:$A$11,0)),"")</f>
        <v>1</v>
      </c>
      <c r="P120" s="22" t="n">
        <f aca="false">IF(OR(O120="",E120=""),"",EDATE(E120,12*O120))</f>
        <v>45912</v>
      </c>
      <c r="Q120" s="22" t="n">
        <f aca="false">IF(E120="","",IFERROR(EDATE(E120,12*INDEX('State Rules'!$E$5:$E$11,MATCH($B120,'State Rules'!$A$5:$A$11,0))),""))</f>
        <v>46642</v>
      </c>
      <c r="R120" s="11" t="str">
        <f aca="false">IF(P120="","",IFERROR(IF(P120&lt;=INDEX('State Rules'!$I$5:$I$11,MATCH($B120,'State Rules'!$A$5:$A$11,0)),"Yes","No"),""))</f>
        <v>Yes</v>
      </c>
      <c r="S120" s="11" t="str">
        <f aca="false">IF(Q120="","",IFERROR(IF(Q120&lt;=INDEX('State Rules'!$I$5:$I$11,MATCH($B120,'State Rules'!$A$5:$A$11,0)),"Yes","No"),""))</f>
        <v>No</v>
      </c>
      <c r="T120" s="8"/>
      <c r="U120" s="8"/>
      <c r="V120" s="24"/>
      <c r="W120" s="24"/>
      <c r="X120" s="24"/>
      <c r="Y120" s="8"/>
      <c r="Z120" s="10" t="n">
        <f aca="false">IF(Q120="","",IF(Q120&lt;=$B$4,N(W120)+N(X120),0))</f>
        <v>0</v>
      </c>
      <c r="AA120" s="10" t="n">
        <f aca="false">IF(OR(LEFT(N120,6)="Larger",LEFT(N120,4)="Memo"),H120,0)</f>
        <v>300</v>
      </c>
      <c r="AB120" s="12" t="str">
        <f aca="false">IFERROR(INDEX('State Rules'!$M$5:$M$11,MATCH($B120,'State Rules'!$A$5:$A$11,0)),"")</f>
        <v>LONG</v>
      </c>
      <c r="AC120" s="22" t="n">
        <f aca="false">IF(AB120="SHORT",P120,IF(AB120="LONG",Q120,""))</f>
        <v>46642</v>
      </c>
      <c r="AD120" s="11" t="str">
        <f aca="false">IF(AB120="SHORT",R120,IF(AB120="LONG",S120,""))</f>
        <v>No</v>
      </c>
    </row>
    <row r="121" customFormat="false" ht="15" hidden="false" customHeight="false" outlineLevel="0" collapsed="false">
      <c r="A121" s="11" t="s">
        <v>42</v>
      </c>
      <c r="B121" s="12" t="str">
        <f aca="false">IF(U121&lt;&gt;"",U121,IFERROR(INDEX(Summary!$B$11:$B$18,MATCH($A121,Summary!$A$11:$A$18,0)),""))</f>
        <v>TX</v>
      </c>
      <c r="C121" s="11" t="s">
        <v>42</v>
      </c>
      <c r="D121" s="11" t="n">
        <v>46</v>
      </c>
      <c r="E121" s="22" t="n">
        <v>45551</v>
      </c>
      <c r="F121" s="11" t="s">
        <v>336</v>
      </c>
      <c r="G121" s="11"/>
      <c r="H121" s="10" t="n">
        <v>644</v>
      </c>
      <c r="I121" s="11" t="s">
        <v>337</v>
      </c>
      <c r="J121" s="11" t="s">
        <v>101</v>
      </c>
      <c r="K121" s="23" t="n">
        <f aca="false">IF(E121="","",($B$4-E121)/365.25)</f>
        <v>2.05338809034908</v>
      </c>
      <c r="L121" s="11" t="str">
        <f aca="false">IF(K121="","no date",IF(K121&lt;1,"0-1 yrs",IF(K121&lt;2,"1-2 yrs",IF(K121&lt;3,"2-3 yrs",IF(K121&lt;5,"3-5 yrs","5+ yrs")))))</f>
        <v>2-3 yrs</v>
      </c>
      <c r="M121" s="11" t="s">
        <v>101</v>
      </c>
      <c r="N121" s="12" t="str">
        <f aca="false">IF(M121="Yes","Memo flag - not ours / unknown / hold: resolve",IF(OR(COUNTIF(Summary!$C$4:$R$4,H121)&gt;0,AND(A121="Philly",COUNTIF(Summary!$C$5:$R$5,H121)&gt;0),AND(A121="TUR",COUNTIF(Summary!$C$6:$R$6,H121)&gt;0),AND(A121="Leading Edge",COUNTIF(Summary!$C$7:$R$7,H121)&gt;0)),"Fee amount - presumed company revenue",IF(H121&lt;=Summary!$B$8,"Small amount - likely fee, review","Larger amount - likely includes agent commission")))</f>
        <v>Fee amount - presumed company revenue</v>
      </c>
      <c r="O121" s="12" t="n">
        <f aca="false">IFERROR(INDEX('State Rules'!$C$5:$C$11,MATCH($B121,'State Rules'!$A$5:$A$11,0)),"")</f>
        <v>1</v>
      </c>
      <c r="P121" s="22" t="n">
        <f aca="false">IF(OR(O121="",E121=""),"",EDATE(E121,12*O121))</f>
        <v>45916</v>
      </c>
      <c r="Q121" s="22" t="n">
        <f aca="false">IF(E121="","",IFERROR(EDATE(E121,12*INDEX('State Rules'!$E$5:$E$11,MATCH($B121,'State Rules'!$A$5:$A$11,0))),""))</f>
        <v>46646</v>
      </c>
      <c r="R121" s="11" t="str">
        <f aca="false">IF(P121="","",IFERROR(IF(P121&lt;=INDEX('State Rules'!$I$5:$I$11,MATCH($B121,'State Rules'!$A$5:$A$11,0)),"Yes","No"),""))</f>
        <v>Yes</v>
      </c>
      <c r="S121" s="11" t="str">
        <f aca="false">IF(Q121="","",IFERROR(IF(Q121&lt;=INDEX('State Rules'!$I$5:$I$11,MATCH($B121,'State Rules'!$A$5:$A$11,0)),"Yes","No"),""))</f>
        <v>No</v>
      </c>
      <c r="T121" s="8"/>
      <c r="U121" s="8"/>
      <c r="V121" s="24"/>
      <c r="W121" s="24"/>
      <c r="X121" s="24"/>
      <c r="Y121" s="8"/>
      <c r="Z121" s="10" t="n">
        <f aca="false">IF(Q121="","",IF(Q121&lt;=$B$4,N(W121)+N(X121),0))</f>
        <v>0</v>
      </c>
      <c r="AA121" s="10" t="n">
        <f aca="false">IF(OR(LEFT(N121,6)="Larger",LEFT(N121,4)="Memo"),H121,0)</f>
        <v>0</v>
      </c>
      <c r="AB121" s="12" t="str">
        <f aca="false">IFERROR(INDEX('State Rules'!$M$5:$M$11,MATCH($B121,'State Rules'!$A$5:$A$11,0)),"")</f>
        <v>LONG</v>
      </c>
      <c r="AC121" s="22" t="n">
        <f aca="false">IF(AB121="SHORT",P121,IF(AB121="LONG",Q121,""))</f>
        <v>46646</v>
      </c>
      <c r="AD121" s="11" t="str">
        <f aca="false">IF(AB121="SHORT",R121,IF(AB121="LONG",S121,""))</f>
        <v>No</v>
      </c>
    </row>
    <row r="122" customFormat="false" ht="15" hidden="false" customHeight="false" outlineLevel="0" collapsed="false">
      <c r="A122" s="11" t="s">
        <v>42</v>
      </c>
      <c r="B122" s="12" t="str">
        <f aca="false">IF(U122&lt;&gt;"",U122,IFERROR(INDEX(Summary!$B$11:$B$18,MATCH($A122,Summary!$A$11:$A$18,0)),""))</f>
        <v>TX</v>
      </c>
      <c r="C122" s="11" t="s">
        <v>42</v>
      </c>
      <c r="D122" s="11" t="n">
        <v>47</v>
      </c>
      <c r="E122" s="22" t="n">
        <v>45559</v>
      </c>
      <c r="F122" s="11" t="s">
        <v>338</v>
      </c>
      <c r="G122" s="11" t="s">
        <v>339</v>
      </c>
      <c r="H122" s="10" t="n">
        <v>150</v>
      </c>
      <c r="I122" s="11"/>
      <c r="J122" s="11" t="s">
        <v>101</v>
      </c>
      <c r="K122" s="23" t="n">
        <f aca="false">IF(E122="","",($B$4-E122)/365.25)</f>
        <v>2.03148528405202</v>
      </c>
      <c r="L122" s="11" t="str">
        <f aca="false">IF(K122="","no date",IF(K122&lt;1,"0-1 yrs",IF(K122&lt;2,"1-2 yrs",IF(K122&lt;3,"2-3 yrs",IF(K122&lt;5,"3-5 yrs","5+ yrs")))))</f>
        <v>2-3 yrs</v>
      </c>
      <c r="M122" s="11" t="s">
        <v>101</v>
      </c>
      <c r="N122" s="12" t="str">
        <f aca="false">IF(M122="Yes","Memo flag - not ours / unknown / hold: resolve",IF(OR(COUNTIF(Summary!$C$4:$R$4,H122)&gt;0,AND(A122="Philly",COUNTIF(Summary!$C$5:$R$5,H122)&gt;0),AND(A122="TUR",COUNTIF(Summary!$C$6:$R$6,H122)&gt;0),AND(A122="Leading Edge",COUNTIF(Summary!$C$7:$R$7,H122)&gt;0)),"Fee amount - presumed company revenue",IF(H122&lt;=Summary!$B$8,"Small amount - likely fee, review","Larger amount - likely includes agent commission")))</f>
        <v>Fee amount - presumed company revenue</v>
      </c>
      <c r="O122" s="12" t="n">
        <f aca="false">IFERROR(INDEX('State Rules'!$C$5:$C$11,MATCH($B122,'State Rules'!$A$5:$A$11,0)),"")</f>
        <v>1</v>
      </c>
      <c r="P122" s="22" t="n">
        <f aca="false">IF(OR(O122="",E122=""),"",EDATE(E122,12*O122))</f>
        <v>45924</v>
      </c>
      <c r="Q122" s="22" t="n">
        <f aca="false">IF(E122="","",IFERROR(EDATE(E122,12*INDEX('State Rules'!$E$5:$E$11,MATCH($B122,'State Rules'!$A$5:$A$11,0))),""))</f>
        <v>46654</v>
      </c>
      <c r="R122" s="11" t="str">
        <f aca="false">IF(P122="","",IFERROR(IF(P122&lt;=INDEX('State Rules'!$I$5:$I$11,MATCH($B122,'State Rules'!$A$5:$A$11,0)),"Yes","No"),""))</f>
        <v>Yes</v>
      </c>
      <c r="S122" s="11" t="str">
        <f aca="false">IF(Q122="","",IFERROR(IF(Q122&lt;=INDEX('State Rules'!$I$5:$I$11,MATCH($B122,'State Rules'!$A$5:$A$11,0)),"Yes","No"),""))</f>
        <v>No</v>
      </c>
      <c r="T122" s="8"/>
      <c r="U122" s="8"/>
      <c r="V122" s="24"/>
      <c r="W122" s="24"/>
      <c r="X122" s="24"/>
      <c r="Y122" s="8"/>
      <c r="Z122" s="10" t="n">
        <f aca="false">IF(Q122="","",IF(Q122&lt;=$B$4,N(W122)+N(X122),0))</f>
        <v>0</v>
      </c>
      <c r="AA122" s="10" t="n">
        <f aca="false">IF(OR(LEFT(N122,6)="Larger",LEFT(N122,4)="Memo"),H122,0)</f>
        <v>0</v>
      </c>
      <c r="AB122" s="12" t="str">
        <f aca="false">IFERROR(INDEX('State Rules'!$M$5:$M$11,MATCH($B122,'State Rules'!$A$5:$A$11,0)),"")</f>
        <v>LONG</v>
      </c>
      <c r="AC122" s="22" t="n">
        <f aca="false">IF(AB122="SHORT",P122,IF(AB122="LONG",Q122,""))</f>
        <v>46654</v>
      </c>
      <c r="AD122" s="11" t="str">
        <f aca="false">IF(AB122="SHORT",R122,IF(AB122="LONG",S122,""))</f>
        <v>No</v>
      </c>
    </row>
    <row r="123" customFormat="false" ht="15" hidden="false" customHeight="false" outlineLevel="0" collapsed="false">
      <c r="A123" s="11" t="s">
        <v>42</v>
      </c>
      <c r="B123" s="12" t="str">
        <f aca="false">IF(U123&lt;&gt;"",U123,IFERROR(INDEX(Summary!$B$11:$B$18,MATCH($A123,Summary!$A$11:$A$18,0)),""))</f>
        <v>TX</v>
      </c>
      <c r="C123" s="11" t="s">
        <v>42</v>
      </c>
      <c r="D123" s="11" t="n">
        <v>48</v>
      </c>
      <c r="E123" s="22" t="n">
        <v>45569</v>
      </c>
      <c r="F123" s="11" t="s">
        <v>340</v>
      </c>
      <c r="G123" s="11" t="s">
        <v>341</v>
      </c>
      <c r="H123" s="10" t="n">
        <v>250</v>
      </c>
      <c r="I123" s="11" t="s">
        <v>342</v>
      </c>
      <c r="J123" s="11" t="s">
        <v>101</v>
      </c>
      <c r="K123" s="23" t="n">
        <f aca="false">IF(E123="","",($B$4-E123)/365.25)</f>
        <v>2.0041067761807</v>
      </c>
      <c r="L123" s="11" t="str">
        <f aca="false">IF(K123="","no date",IF(K123&lt;1,"0-1 yrs",IF(K123&lt;2,"1-2 yrs",IF(K123&lt;3,"2-3 yrs",IF(K123&lt;5,"3-5 yrs","5+ yrs")))))</f>
        <v>2-3 yrs</v>
      </c>
      <c r="M123" s="11" t="s">
        <v>101</v>
      </c>
      <c r="N123" s="12" t="str">
        <f aca="false">IF(M123="Yes","Memo flag - not ours / unknown / hold: resolve",IF(OR(COUNTIF(Summary!$C$4:$R$4,H123)&gt;0,AND(A123="Philly",COUNTIF(Summary!$C$5:$R$5,H123)&gt;0),AND(A123="TUR",COUNTIF(Summary!$C$6:$R$6,H123)&gt;0),AND(A123="Leading Edge",COUNTIF(Summary!$C$7:$R$7,H123)&gt;0)),"Fee amount - presumed company revenue",IF(H123&lt;=Summary!$B$8,"Small amount - likely fee, review","Larger amount - likely includes agent commission")))</f>
        <v>Fee amount - presumed company revenue</v>
      </c>
      <c r="O123" s="12" t="n">
        <f aca="false">IFERROR(INDEX('State Rules'!$C$5:$C$11,MATCH($B123,'State Rules'!$A$5:$A$11,0)),"")</f>
        <v>1</v>
      </c>
      <c r="P123" s="22" t="n">
        <f aca="false">IF(OR(O123="",E123=""),"",EDATE(E123,12*O123))</f>
        <v>45934</v>
      </c>
      <c r="Q123" s="22" t="n">
        <f aca="false">IF(E123="","",IFERROR(EDATE(E123,12*INDEX('State Rules'!$E$5:$E$11,MATCH($B123,'State Rules'!$A$5:$A$11,0))),""))</f>
        <v>46664</v>
      </c>
      <c r="R123" s="11" t="str">
        <f aca="false">IF(P123="","",IFERROR(IF(P123&lt;=INDEX('State Rules'!$I$5:$I$11,MATCH($B123,'State Rules'!$A$5:$A$11,0)),"Yes","No"),""))</f>
        <v>Yes</v>
      </c>
      <c r="S123" s="11" t="str">
        <f aca="false">IF(Q123="","",IFERROR(IF(Q123&lt;=INDEX('State Rules'!$I$5:$I$11,MATCH($B123,'State Rules'!$A$5:$A$11,0)),"Yes","No"),""))</f>
        <v>No</v>
      </c>
      <c r="T123" s="8"/>
      <c r="U123" s="8"/>
      <c r="V123" s="24"/>
      <c r="W123" s="24"/>
      <c r="X123" s="24"/>
      <c r="Y123" s="8"/>
      <c r="Z123" s="10" t="n">
        <f aca="false">IF(Q123="","",IF(Q123&lt;=$B$4,N(W123)+N(X123),0))</f>
        <v>0</v>
      </c>
      <c r="AA123" s="10" t="n">
        <f aca="false">IF(OR(LEFT(N123,6)="Larger",LEFT(N123,4)="Memo"),H123,0)</f>
        <v>0</v>
      </c>
      <c r="AB123" s="12" t="str">
        <f aca="false">IFERROR(INDEX('State Rules'!$M$5:$M$11,MATCH($B123,'State Rules'!$A$5:$A$11,0)),"")</f>
        <v>LONG</v>
      </c>
      <c r="AC123" s="22" t="n">
        <f aca="false">IF(AB123="SHORT",P123,IF(AB123="LONG",Q123,""))</f>
        <v>46664</v>
      </c>
      <c r="AD123" s="11" t="str">
        <f aca="false">IF(AB123="SHORT",R123,IF(AB123="LONG",S123,""))</f>
        <v>No</v>
      </c>
    </row>
    <row r="124" customFormat="false" ht="15" hidden="false" customHeight="false" outlineLevel="0" collapsed="false">
      <c r="A124" s="11" t="s">
        <v>42</v>
      </c>
      <c r="B124" s="12" t="str">
        <f aca="false">IF(U124&lt;&gt;"",U124,IFERROR(INDEX(Summary!$B$11:$B$18,MATCH($A124,Summary!$A$11:$A$18,0)),""))</f>
        <v>TX</v>
      </c>
      <c r="C124" s="11" t="s">
        <v>42</v>
      </c>
      <c r="D124" s="11" t="n">
        <v>49</v>
      </c>
      <c r="E124" s="22" t="n">
        <v>45582</v>
      </c>
      <c r="F124" s="11" t="s">
        <v>343</v>
      </c>
      <c r="G124" s="11" t="s">
        <v>344</v>
      </c>
      <c r="H124" s="10" t="n">
        <v>639.98</v>
      </c>
      <c r="I124" s="11"/>
      <c r="J124" s="11" t="s">
        <v>101</v>
      </c>
      <c r="K124" s="23" t="n">
        <f aca="false">IF(E124="","",($B$4-E124)/365.25)</f>
        <v>1.96851471594798</v>
      </c>
      <c r="L124" s="11" t="str">
        <f aca="false">IF(K124="","no date",IF(K124&lt;1,"0-1 yrs",IF(K124&lt;2,"1-2 yrs",IF(K124&lt;3,"2-3 yrs",IF(K124&lt;5,"3-5 yrs","5+ yrs")))))</f>
        <v>1-2 yrs</v>
      </c>
      <c r="M124" s="11" t="s">
        <v>101</v>
      </c>
      <c r="N124" s="12" t="str">
        <f aca="false">IF(M124="Yes","Memo flag - not ours / unknown / hold: resolve",IF(OR(COUNTIF(Summary!$C$4:$R$4,H124)&gt;0,AND(A124="Philly",COUNTIF(Summary!$C$5:$R$5,H124)&gt;0),AND(A124="TUR",COUNTIF(Summary!$C$6:$R$6,H124)&gt;0),AND(A124="Leading Edge",COUNTIF(Summary!$C$7:$R$7,H124)&gt;0)),"Fee amount - presumed company revenue",IF(H124&lt;=Summary!$B$8,"Small amount - likely fee, review","Larger amount - likely includes agent commission")))</f>
        <v>Larger amount - likely includes agent commission</v>
      </c>
      <c r="O124" s="12" t="n">
        <f aca="false">IFERROR(INDEX('State Rules'!$C$5:$C$11,MATCH($B124,'State Rules'!$A$5:$A$11,0)),"")</f>
        <v>1</v>
      </c>
      <c r="P124" s="22" t="n">
        <f aca="false">IF(OR(O124="",E124=""),"",EDATE(E124,12*O124))</f>
        <v>45947</v>
      </c>
      <c r="Q124" s="22" t="n">
        <f aca="false">IF(E124="","",IFERROR(EDATE(E124,12*INDEX('State Rules'!$E$5:$E$11,MATCH($B124,'State Rules'!$A$5:$A$11,0))),""))</f>
        <v>46677</v>
      </c>
      <c r="R124" s="11" t="str">
        <f aca="false">IF(P124="","",IFERROR(IF(P124&lt;=INDEX('State Rules'!$I$5:$I$11,MATCH($B124,'State Rules'!$A$5:$A$11,0)),"Yes","No"),""))</f>
        <v>Yes</v>
      </c>
      <c r="S124" s="11" t="str">
        <f aca="false">IF(Q124="","",IFERROR(IF(Q124&lt;=INDEX('State Rules'!$I$5:$I$11,MATCH($B124,'State Rules'!$A$5:$A$11,0)),"Yes","No"),""))</f>
        <v>No</v>
      </c>
      <c r="T124" s="8"/>
      <c r="U124" s="8"/>
      <c r="V124" s="24"/>
      <c r="W124" s="24"/>
      <c r="X124" s="24"/>
      <c r="Y124" s="8"/>
      <c r="Z124" s="10" t="n">
        <f aca="false">IF(Q124="","",IF(Q124&lt;=$B$4,N(W124)+N(X124),0))</f>
        <v>0</v>
      </c>
      <c r="AA124" s="10" t="n">
        <f aca="false">IF(OR(LEFT(N124,6)="Larger",LEFT(N124,4)="Memo"),H124,0)</f>
        <v>639.98</v>
      </c>
      <c r="AB124" s="12" t="str">
        <f aca="false">IFERROR(INDEX('State Rules'!$M$5:$M$11,MATCH($B124,'State Rules'!$A$5:$A$11,0)),"")</f>
        <v>LONG</v>
      </c>
      <c r="AC124" s="22" t="n">
        <f aca="false">IF(AB124="SHORT",P124,IF(AB124="LONG",Q124,""))</f>
        <v>46677</v>
      </c>
      <c r="AD124" s="11" t="str">
        <f aca="false">IF(AB124="SHORT",R124,IF(AB124="LONG",S124,""))</f>
        <v>No</v>
      </c>
    </row>
    <row r="125" customFormat="false" ht="15" hidden="false" customHeight="false" outlineLevel="0" collapsed="false">
      <c r="A125" s="11" t="s">
        <v>42</v>
      </c>
      <c r="B125" s="12" t="str">
        <f aca="false">IF(U125&lt;&gt;"",U125,IFERROR(INDEX(Summary!$B$11:$B$18,MATCH($A125,Summary!$A$11:$A$18,0)),""))</f>
        <v>TX</v>
      </c>
      <c r="C125" s="11" t="s">
        <v>42</v>
      </c>
      <c r="D125" s="11" t="n">
        <v>50</v>
      </c>
      <c r="E125" s="22" t="n">
        <v>45594</v>
      </c>
      <c r="F125" s="11" t="s">
        <v>345</v>
      </c>
      <c r="G125" s="11"/>
      <c r="H125" s="10" t="n">
        <v>200</v>
      </c>
      <c r="I125" s="11" t="s">
        <v>346</v>
      </c>
      <c r="J125" s="11" t="s">
        <v>101</v>
      </c>
      <c r="K125" s="23" t="n">
        <f aca="false">IF(E125="","",($B$4-E125)/365.25)</f>
        <v>1.9356605065024</v>
      </c>
      <c r="L125" s="11" t="str">
        <f aca="false">IF(K125="","no date",IF(K125&lt;1,"0-1 yrs",IF(K125&lt;2,"1-2 yrs",IF(K125&lt;3,"2-3 yrs",IF(K125&lt;5,"3-5 yrs","5+ yrs")))))</f>
        <v>1-2 yrs</v>
      </c>
      <c r="M125" s="25" t="s">
        <v>112</v>
      </c>
      <c r="N125" s="12" t="str">
        <f aca="false">IF(M125="Yes","Memo flag - not ours / unknown / hold: resolve",IF(OR(COUNTIF(Summary!$C$4:$R$4,H125)&gt;0,AND(A125="Philly",COUNTIF(Summary!$C$5:$R$5,H125)&gt;0),AND(A125="TUR",COUNTIF(Summary!$C$6:$R$6,H125)&gt;0),AND(A125="Leading Edge",COUNTIF(Summary!$C$7:$R$7,H125)&gt;0)),"Fee amount - presumed company revenue",IF(H125&lt;=Summary!$B$8,"Small amount - likely fee, review","Larger amount - likely includes agent commission")))</f>
        <v>Memo flag - not ours / unknown / hold: resolve</v>
      </c>
      <c r="O125" s="12" t="n">
        <f aca="false">IFERROR(INDEX('State Rules'!$C$5:$C$11,MATCH($B125,'State Rules'!$A$5:$A$11,0)),"")</f>
        <v>1</v>
      </c>
      <c r="P125" s="22" t="n">
        <f aca="false">IF(OR(O125="",E125=""),"",EDATE(E125,12*O125))</f>
        <v>45959</v>
      </c>
      <c r="Q125" s="22" t="n">
        <f aca="false">IF(E125="","",IFERROR(EDATE(E125,12*INDEX('State Rules'!$E$5:$E$11,MATCH($B125,'State Rules'!$A$5:$A$11,0))),""))</f>
        <v>46689</v>
      </c>
      <c r="R125" s="11" t="str">
        <f aca="false">IF(P125="","",IFERROR(IF(P125&lt;=INDEX('State Rules'!$I$5:$I$11,MATCH($B125,'State Rules'!$A$5:$A$11,0)),"Yes","No"),""))</f>
        <v>Yes</v>
      </c>
      <c r="S125" s="11" t="str">
        <f aca="false">IF(Q125="","",IFERROR(IF(Q125&lt;=INDEX('State Rules'!$I$5:$I$11,MATCH($B125,'State Rules'!$A$5:$A$11,0)),"Yes","No"),""))</f>
        <v>No</v>
      </c>
      <c r="T125" s="8"/>
      <c r="U125" s="8"/>
      <c r="V125" s="24"/>
      <c r="W125" s="24"/>
      <c r="X125" s="24"/>
      <c r="Y125" s="8"/>
      <c r="Z125" s="10" t="n">
        <f aca="false">IF(Q125="","",IF(Q125&lt;=$B$4,N(W125)+N(X125),0))</f>
        <v>0</v>
      </c>
      <c r="AA125" s="10" t="n">
        <f aca="false">IF(OR(LEFT(N125,6)="Larger",LEFT(N125,4)="Memo"),H125,0)</f>
        <v>200</v>
      </c>
      <c r="AB125" s="12" t="str">
        <f aca="false">IFERROR(INDEX('State Rules'!$M$5:$M$11,MATCH($B125,'State Rules'!$A$5:$A$11,0)),"")</f>
        <v>LONG</v>
      </c>
      <c r="AC125" s="22" t="n">
        <f aca="false">IF(AB125="SHORT",P125,IF(AB125="LONG",Q125,""))</f>
        <v>46689</v>
      </c>
      <c r="AD125" s="11" t="str">
        <f aca="false">IF(AB125="SHORT",R125,IF(AB125="LONG",S125,""))</f>
        <v>No</v>
      </c>
    </row>
    <row r="126" customFormat="false" ht="15" hidden="false" customHeight="false" outlineLevel="0" collapsed="false">
      <c r="A126" s="11" t="s">
        <v>42</v>
      </c>
      <c r="B126" s="12" t="str">
        <f aca="false">IF(U126&lt;&gt;"",U126,IFERROR(INDEX(Summary!$B$11:$B$18,MATCH($A126,Summary!$A$11:$A$18,0)),""))</f>
        <v>TX</v>
      </c>
      <c r="C126" s="11" t="s">
        <v>42</v>
      </c>
      <c r="D126" s="11" t="n">
        <v>51</v>
      </c>
      <c r="E126" s="22" t="n">
        <v>45601</v>
      </c>
      <c r="F126" s="11" t="s">
        <v>347</v>
      </c>
      <c r="G126" s="11"/>
      <c r="H126" s="10" t="n">
        <v>469.5</v>
      </c>
      <c r="I126" s="11" t="s">
        <v>312</v>
      </c>
      <c r="J126" s="11" t="s">
        <v>101</v>
      </c>
      <c r="K126" s="23" t="n">
        <f aca="false">IF(E126="","",($B$4-E126)/365.25)</f>
        <v>1.91649555099247</v>
      </c>
      <c r="L126" s="11" t="str">
        <f aca="false">IF(K126="","no date",IF(K126&lt;1,"0-1 yrs",IF(K126&lt;2,"1-2 yrs",IF(K126&lt;3,"2-3 yrs",IF(K126&lt;5,"3-5 yrs","5+ yrs")))))</f>
        <v>1-2 yrs</v>
      </c>
      <c r="M126" s="11" t="s">
        <v>101</v>
      </c>
      <c r="N126" s="12" t="str">
        <f aca="false">IF(M126="Yes","Memo flag - not ours / unknown / hold: resolve",IF(OR(COUNTIF(Summary!$C$4:$R$4,H126)&gt;0,AND(A126="Philly",COUNTIF(Summary!$C$5:$R$5,H126)&gt;0),AND(A126="TUR",COUNTIF(Summary!$C$6:$R$6,H126)&gt;0),AND(A126="Leading Edge",COUNTIF(Summary!$C$7:$R$7,H126)&gt;0)),"Fee amount - presumed company revenue",IF(H126&lt;=Summary!$B$8,"Small amount - likely fee, review","Larger amount - likely includes agent commission")))</f>
        <v>Larger amount - likely includes agent commission</v>
      </c>
      <c r="O126" s="12" t="n">
        <f aca="false">IFERROR(INDEX('State Rules'!$C$5:$C$11,MATCH($B126,'State Rules'!$A$5:$A$11,0)),"")</f>
        <v>1</v>
      </c>
      <c r="P126" s="22" t="n">
        <f aca="false">IF(OR(O126="",E126=""),"",EDATE(E126,12*O126))</f>
        <v>45966</v>
      </c>
      <c r="Q126" s="22" t="n">
        <f aca="false">IF(E126="","",IFERROR(EDATE(E126,12*INDEX('State Rules'!$E$5:$E$11,MATCH($B126,'State Rules'!$A$5:$A$11,0))),""))</f>
        <v>46696</v>
      </c>
      <c r="R126" s="11" t="str">
        <f aca="false">IF(P126="","",IFERROR(IF(P126&lt;=INDEX('State Rules'!$I$5:$I$11,MATCH($B126,'State Rules'!$A$5:$A$11,0)),"Yes","No"),""))</f>
        <v>Yes</v>
      </c>
      <c r="S126" s="11" t="str">
        <f aca="false">IF(Q126="","",IFERROR(IF(Q126&lt;=INDEX('State Rules'!$I$5:$I$11,MATCH($B126,'State Rules'!$A$5:$A$11,0)),"Yes","No"),""))</f>
        <v>No</v>
      </c>
      <c r="T126" s="8"/>
      <c r="U126" s="8"/>
      <c r="V126" s="24"/>
      <c r="W126" s="24"/>
      <c r="X126" s="24"/>
      <c r="Y126" s="8"/>
      <c r="Z126" s="10" t="n">
        <f aca="false">IF(Q126="","",IF(Q126&lt;=$B$4,N(W126)+N(X126),0))</f>
        <v>0</v>
      </c>
      <c r="AA126" s="10" t="n">
        <f aca="false">IF(OR(LEFT(N126,6)="Larger",LEFT(N126,4)="Memo"),H126,0)</f>
        <v>469.5</v>
      </c>
      <c r="AB126" s="12" t="str">
        <f aca="false">IFERROR(INDEX('State Rules'!$M$5:$M$11,MATCH($B126,'State Rules'!$A$5:$A$11,0)),"")</f>
        <v>LONG</v>
      </c>
      <c r="AC126" s="22" t="n">
        <f aca="false">IF(AB126="SHORT",P126,IF(AB126="LONG",Q126,""))</f>
        <v>46696</v>
      </c>
      <c r="AD126" s="11" t="str">
        <f aca="false">IF(AB126="SHORT",R126,IF(AB126="LONG",S126,""))</f>
        <v>No</v>
      </c>
    </row>
    <row r="127" customFormat="false" ht="15" hidden="false" customHeight="false" outlineLevel="0" collapsed="false">
      <c r="A127" s="11" t="s">
        <v>42</v>
      </c>
      <c r="B127" s="12" t="str">
        <f aca="false">IF(U127&lt;&gt;"",U127,IFERROR(INDEX(Summary!$B$11:$B$18,MATCH($A127,Summary!$A$11:$A$18,0)),""))</f>
        <v>TX</v>
      </c>
      <c r="C127" s="11" t="s">
        <v>42</v>
      </c>
      <c r="D127" s="11" t="n">
        <v>52</v>
      </c>
      <c r="E127" s="22" t="n">
        <v>45609</v>
      </c>
      <c r="F127" s="11" t="s">
        <v>348</v>
      </c>
      <c r="G127" s="11"/>
      <c r="H127" s="10" t="n">
        <v>229</v>
      </c>
      <c r="I127" s="11" t="s">
        <v>349</v>
      </c>
      <c r="J127" s="11" t="s">
        <v>101</v>
      </c>
      <c r="K127" s="23" t="n">
        <f aca="false">IF(E127="","",($B$4-E127)/365.25)</f>
        <v>1.89459274469541</v>
      </c>
      <c r="L127" s="11" t="str">
        <f aca="false">IF(K127="","no date",IF(K127&lt;1,"0-1 yrs",IF(K127&lt;2,"1-2 yrs",IF(K127&lt;3,"2-3 yrs",IF(K127&lt;5,"3-5 yrs","5+ yrs")))))</f>
        <v>1-2 yrs</v>
      </c>
      <c r="M127" s="11" t="s">
        <v>101</v>
      </c>
      <c r="N127" s="12" t="str">
        <f aca="false">IF(M127="Yes","Memo flag - not ours / unknown / hold: resolve",IF(OR(COUNTIF(Summary!$C$4:$R$4,H127)&gt;0,AND(A127="Philly",COUNTIF(Summary!$C$5:$R$5,H127)&gt;0),AND(A127="TUR",COUNTIF(Summary!$C$6:$R$6,H127)&gt;0),AND(A127="Leading Edge",COUNTIF(Summary!$C$7:$R$7,H127)&gt;0)),"Fee amount - presumed company revenue",IF(H127&lt;=Summary!$B$8,"Small amount - likely fee, review","Larger amount - likely includes agent commission")))</f>
        <v>Small amount - likely fee, review</v>
      </c>
      <c r="O127" s="12" t="n">
        <f aca="false">IFERROR(INDEX('State Rules'!$C$5:$C$11,MATCH($B127,'State Rules'!$A$5:$A$11,0)),"")</f>
        <v>1</v>
      </c>
      <c r="P127" s="22" t="n">
        <f aca="false">IF(OR(O127="",E127=""),"",EDATE(E127,12*O127))</f>
        <v>45974</v>
      </c>
      <c r="Q127" s="22" t="n">
        <f aca="false">IF(E127="","",IFERROR(EDATE(E127,12*INDEX('State Rules'!$E$5:$E$11,MATCH($B127,'State Rules'!$A$5:$A$11,0))),""))</f>
        <v>46704</v>
      </c>
      <c r="R127" s="11" t="str">
        <f aca="false">IF(P127="","",IFERROR(IF(P127&lt;=INDEX('State Rules'!$I$5:$I$11,MATCH($B127,'State Rules'!$A$5:$A$11,0)),"Yes","No"),""))</f>
        <v>Yes</v>
      </c>
      <c r="S127" s="11" t="str">
        <f aca="false">IF(Q127="","",IFERROR(IF(Q127&lt;=INDEX('State Rules'!$I$5:$I$11,MATCH($B127,'State Rules'!$A$5:$A$11,0)),"Yes","No"),""))</f>
        <v>No</v>
      </c>
      <c r="T127" s="8"/>
      <c r="U127" s="8"/>
      <c r="V127" s="24"/>
      <c r="W127" s="24"/>
      <c r="X127" s="24"/>
      <c r="Y127" s="8"/>
      <c r="Z127" s="10" t="n">
        <f aca="false">IF(Q127="","",IF(Q127&lt;=$B$4,N(W127)+N(X127),0))</f>
        <v>0</v>
      </c>
      <c r="AA127" s="10" t="n">
        <f aca="false">IF(OR(LEFT(N127,6)="Larger",LEFT(N127,4)="Memo"),H127,0)</f>
        <v>0</v>
      </c>
      <c r="AB127" s="12" t="str">
        <f aca="false">IFERROR(INDEX('State Rules'!$M$5:$M$11,MATCH($B127,'State Rules'!$A$5:$A$11,0)),"")</f>
        <v>LONG</v>
      </c>
      <c r="AC127" s="22" t="n">
        <f aca="false">IF(AB127="SHORT",P127,IF(AB127="LONG",Q127,""))</f>
        <v>46704</v>
      </c>
      <c r="AD127" s="11" t="str">
        <f aca="false">IF(AB127="SHORT",R127,IF(AB127="LONG",S127,""))</f>
        <v>No</v>
      </c>
    </row>
    <row r="128" customFormat="false" ht="15" hidden="false" customHeight="false" outlineLevel="0" collapsed="false">
      <c r="A128" s="11" t="s">
        <v>42</v>
      </c>
      <c r="B128" s="12" t="str">
        <f aca="false">IF(U128&lt;&gt;"",U128,IFERROR(INDEX(Summary!$B$11:$B$18,MATCH($A128,Summary!$A$11:$A$18,0)),""))</f>
        <v>TX</v>
      </c>
      <c r="C128" s="11" t="s">
        <v>42</v>
      </c>
      <c r="D128" s="11" t="n">
        <v>53</v>
      </c>
      <c r="E128" s="22" t="n">
        <v>45632</v>
      </c>
      <c r="F128" s="11" t="s">
        <v>350</v>
      </c>
      <c r="G128" s="11"/>
      <c r="H128" s="10" t="n">
        <v>176.25</v>
      </c>
      <c r="I128" s="11"/>
      <c r="J128" s="11" t="s">
        <v>101</v>
      </c>
      <c r="K128" s="23" t="n">
        <f aca="false">IF(E128="","",($B$4-E128)/365.25)</f>
        <v>1.83162217659138</v>
      </c>
      <c r="L128" s="11" t="str">
        <f aca="false">IF(K128="","no date",IF(K128&lt;1,"0-1 yrs",IF(K128&lt;2,"1-2 yrs",IF(K128&lt;3,"2-3 yrs",IF(K128&lt;5,"3-5 yrs","5+ yrs")))))</f>
        <v>1-2 yrs</v>
      </c>
      <c r="M128" s="11" t="s">
        <v>101</v>
      </c>
      <c r="N128" s="12" t="str">
        <f aca="false">IF(M128="Yes","Memo flag - not ours / unknown / hold: resolve",IF(OR(COUNTIF(Summary!$C$4:$R$4,H128)&gt;0,AND(A128="Philly",COUNTIF(Summary!$C$5:$R$5,H128)&gt;0),AND(A128="TUR",COUNTIF(Summary!$C$6:$R$6,H128)&gt;0),AND(A128="Leading Edge",COUNTIF(Summary!$C$7:$R$7,H128)&gt;0)),"Fee amount - presumed company revenue",IF(H128&lt;=Summary!$B$8,"Small amount - likely fee, review","Larger amount - likely includes agent commission")))</f>
        <v>Small amount - likely fee, review</v>
      </c>
      <c r="O128" s="12" t="n">
        <f aca="false">IFERROR(INDEX('State Rules'!$C$5:$C$11,MATCH($B128,'State Rules'!$A$5:$A$11,0)),"")</f>
        <v>1</v>
      </c>
      <c r="P128" s="22" t="n">
        <f aca="false">IF(OR(O128="",E128=""),"",EDATE(E128,12*O128))</f>
        <v>45997</v>
      </c>
      <c r="Q128" s="22" t="n">
        <f aca="false">IF(E128="","",IFERROR(EDATE(E128,12*INDEX('State Rules'!$E$5:$E$11,MATCH($B128,'State Rules'!$A$5:$A$11,0))),""))</f>
        <v>46727</v>
      </c>
      <c r="R128" s="11" t="str">
        <f aca="false">IF(P128="","",IFERROR(IF(P128&lt;=INDEX('State Rules'!$I$5:$I$11,MATCH($B128,'State Rules'!$A$5:$A$11,0)),"Yes","No"),""))</f>
        <v>Yes</v>
      </c>
      <c r="S128" s="11" t="str">
        <f aca="false">IF(Q128="","",IFERROR(IF(Q128&lt;=INDEX('State Rules'!$I$5:$I$11,MATCH($B128,'State Rules'!$A$5:$A$11,0)),"Yes","No"),""))</f>
        <v>No</v>
      </c>
      <c r="T128" s="8"/>
      <c r="U128" s="8"/>
      <c r="V128" s="24"/>
      <c r="W128" s="24"/>
      <c r="X128" s="24"/>
      <c r="Y128" s="8"/>
      <c r="Z128" s="10" t="n">
        <f aca="false">IF(Q128="","",IF(Q128&lt;=$B$4,N(W128)+N(X128),0))</f>
        <v>0</v>
      </c>
      <c r="AA128" s="10" t="n">
        <f aca="false">IF(OR(LEFT(N128,6)="Larger",LEFT(N128,4)="Memo"),H128,0)</f>
        <v>0</v>
      </c>
      <c r="AB128" s="12" t="str">
        <f aca="false">IFERROR(INDEX('State Rules'!$M$5:$M$11,MATCH($B128,'State Rules'!$A$5:$A$11,0)),"")</f>
        <v>LONG</v>
      </c>
      <c r="AC128" s="22" t="n">
        <f aca="false">IF(AB128="SHORT",P128,IF(AB128="LONG",Q128,""))</f>
        <v>46727</v>
      </c>
      <c r="AD128" s="11" t="str">
        <f aca="false">IF(AB128="SHORT",R128,IF(AB128="LONG",S128,""))</f>
        <v>No</v>
      </c>
    </row>
    <row r="129" customFormat="false" ht="15" hidden="false" customHeight="false" outlineLevel="0" collapsed="false">
      <c r="A129" s="11" t="s">
        <v>42</v>
      </c>
      <c r="B129" s="12" t="str">
        <f aca="false">IF(U129&lt;&gt;"",U129,IFERROR(INDEX(Summary!$B$11:$B$18,MATCH($A129,Summary!$A$11:$A$18,0)),""))</f>
        <v>TX</v>
      </c>
      <c r="C129" s="11" t="s">
        <v>42</v>
      </c>
      <c r="D129" s="11" t="n">
        <v>54</v>
      </c>
      <c r="E129" s="22" t="n">
        <v>45644</v>
      </c>
      <c r="F129" s="11" t="s">
        <v>351</v>
      </c>
      <c r="G129" s="11"/>
      <c r="H129" s="10" t="n">
        <v>165</v>
      </c>
      <c r="I129" s="11"/>
      <c r="J129" s="11" t="s">
        <v>101</v>
      </c>
      <c r="K129" s="23" t="n">
        <f aca="false">IF(E129="","",($B$4-E129)/365.25)</f>
        <v>1.79876796714579</v>
      </c>
      <c r="L129" s="11" t="str">
        <f aca="false">IF(K129="","no date",IF(K129&lt;1,"0-1 yrs",IF(K129&lt;2,"1-2 yrs",IF(K129&lt;3,"2-3 yrs",IF(K129&lt;5,"3-5 yrs","5+ yrs")))))</f>
        <v>1-2 yrs</v>
      </c>
      <c r="M129" s="11" t="s">
        <v>101</v>
      </c>
      <c r="N129" s="12" t="str">
        <f aca="false">IF(M129="Yes","Memo flag - not ours / unknown / hold: resolve",IF(OR(COUNTIF(Summary!$C$4:$R$4,H129)&gt;0,AND(A129="Philly",COUNTIF(Summary!$C$5:$R$5,H129)&gt;0),AND(A129="TUR",COUNTIF(Summary!$C$6:$R$6,H129)&gt;0),AND(A129="Leading Edge",COUNTIF(Summary!$C$7:$R$7,H129)&gt;0)),"Fee amount - presumed company revenue",IF(H129&lt;=Summary!$B$8,"Small amount - likely fee, review","Larger amount - likely includes agent commission")))</f>
        <v>Small amount - likely fee, review</v>
      </c>
      <c r="O129" s="12" t="n">
        <f aca="false">IFERROR(INDEX('State Rules'!$C$5:$C$11,MATCH($B129,'State Rules'!$A$5:$A$11,0)),"")</f>
        <v>1</v>
      </c>
      <c r="P129" s="22" t="n">
        <f aca="false">IF(OR(O129="",E129=""),"",EDATE(E129,12*O129))</f>
        <v>46009</v>
      </c>
      <c r="Q129" s="22" t="n">
        <f aca="false">IF(E129="","",IFERROR(EDATE(E129,12*INDEX('State Rules'!$E$5:$E$11,MATCH($B129,'State Rules'!$A$5:$A$11,0))),""))</f>
        <v>46739</v>
      </c>
      <c r="R129" s="11" t="str">
        <f aca="false">IF(P129="","",IFERROR(IF(P129&lt;=INDEX('State Rules'!$I$5:$I$11,MATCH($B129,'State Rules'!$A$5:$A$11,0)),"Yes","No"),""))</f>
        <v>Yes</v>
      </c>
      <c r="S129" s="11" t="str">
        <f aca="false">IF(Q129="","",IFERROR(IF(Q129&lt;=INDEX('State Rules'!$I$5:$I$11,MATCH($B129,'State Rules'!$A$5:$A$11,0)),"Yes","No"),""))</f>
        <v>No</v>
      </c>
      <c r="T129" s="8"/>
      <c r="U129" s="8"/>
      <c r="V129" s="24"/>
      <c r="W129" s="24"/>
      <c r="X129" s="24"/>
      <c r="Y129" s="8"/>
      <c r="Z129" s="10" t="n">
        <f aca="false">IF(Q129="","",IF(Q129&lt;=$B$4,N(W129)+N(X129),0))</f>
        <v>0</v>
      </c>
      <c r="AA129" s="10" t="n">
        <f aca="false">IF(OR(LEFT(N129,6)="Larger",LEFT(N129,4)="Memo"),H129,0)</f>
        <v>0</v>
      </c>
      <c r="AB129" s="12" t="str">
        <f aca="false">IFERROR(INDEX('State Rules'!$M$5:$M$11,MATCH($B129,'State Rules'!$A$5:$A$11,0)),"")</f>
        <v>LONG</v>
      </c>
      <c r="AC129" s="22" t="n">
        <f aca="false">IF(AB129="SHORT",P129,IF(AB129="LONG",Q129,""))</f>
        <v>46739</v>
      </c>
      <c r="AD129" s="11" t="str">
        <f aca="false">IF(AB129="SHORT",R129,IF(AB129="LONG",S129,""))</f>
        <v>No</v>
      </c>
    </row>
    <row r="130" customFormat="false" ht="15" hidden="false" customHeight="false" outlineLevel="0" collapsed="false">
      <c r="A130" s="11" t="s">
        <v>42</v>
      </c>
      <c r="B130" s="12" t="str">
        <f aca="false">IF(U130&lt;&gt;"",U130,IFERROR(INDEX(Summary!$B$11:$B$18,MATCH($A130,Summary!$A$11:$A$18,0)),""))</f>
        <v>TX</v>
      </c>
      <c r="C130" s="11" t="s">
        <v>42</v>
      </c>
      <c r="D130" s="11" t="n">
        <v>55</v>
      </c>
      <c r="E130" s="22" t="n">
        <v>45695</v>
      </c>
      <c r="F130" s="11" t="s">
        <v>352</v>
      </c>
      <c r="G130" s="11"/>
      <c r="H130" s="10" t="n">
        <v>195</v>
      </c>
      <c r="I130" s="11" t="s">
        <v>353</v>
      </c>
      <c r="J130" s="11" t="s">
        <v>101</v>
      </c>
      <c r="K130" s="23" t="n">
        <f aca="false">IF(E130="","",($B$4-E130)/365.25)</f>
        <v>1.65913757700205</v>
      </c>
      <c r="L130" s="11" t="str">
        <f aca="false">IF(K130="","no date",IF(K130&lt;1,"0-1 yrs",IF(K130&lt;2,"1-2 yrs",IF(K130&lt;3,"2-3 yrs",IF(K130&lt;5,"3-5 yrs","5+ yrs")))))</f>
        <v>1-2 yrs</v>
      </c>
      <c r="M130" s="11" t="s">
        <v>101</v>
      </c>
      <c r="N130" s="12" t="str">
        <f aca="false">IF(M130="Yes","Memo flag - not ours / unknown / hold: resolve",IF(OR(COUNTIF(Summary!$C$4:$R$4,H130)&gt;0,AND(A130="Philly",COUNTIF(Summary!$C$5:$R$5,H130)&gt;0),AND(A130="TUR",COUNTIF(Summary!$C$6:$R$6,H130)&gt;0),AND(A130="Leading Edge",COUNTIF(Summary!$C$7:$R$7,H130)&gt;0)),"Fee amount - presumed company revenue",IF(H130&lt;=Summary!$B$8,"Small amount - likely fee, review","Larger amount - likely includes agent commission")))</f>
        <v>Small amount - likely fee, review</v>
      </c>
      <c r="O130" s="12" t="n">
        <f aca="false">IFERROR(INDEX('State Rules'!$C$5:$C$11,MATCH($B130,'State Rules'!$A$5:$A$11,0)),"")</f>
        <v>1</v>
      </c>
      <c r="P130" s="22" t="n">
        <f aca="false">IF(OR(O130="",E130=""),"",EDATE(E130,12*O130))</f>
        <v>46060</v>
      </c>
      <c r="Q130" s="22" t="n">
        <f aca="false">IF(E130="","",IFERROR(EDATE(E130,12*INDEX('State Rules'!$E$5:$E$11,MATCH($B130,'State Rules'!$A$5:$A$11,0))),""))</f>
        <v>46790</v>
      </c>
      <c r="R130" s="11" t="str">
        <f aca="false">IF(P130="","",IFERROR(IF(P130&lt;=INDEX('State Rules'!$I$5:$I$11,MATCH($B130,'State Rules'!$A$5:$A$11,0)),"Yes","No"),""))</f>
        <v>Yes</v>
      </c>
      <c r="S130" s="11" t="str">
        <f aca="false">IF(Q130="","",IFERROR(IF(Q130&lt;=INDEX('State Rules'!$I$5:$I$11,MATCH($B130,'State Rules'!$A$5:$A$11,0)),"Yes","No"),""))</f>
        <v>No</v>
      </c>
      <c r="T130" s="8"/>
      <c r="U130" s="8"/>
      <c r="V130" s="24"/>
      <c r="W130" s="24"/>
      <c r="X130" s="24"/>
      <c r="Y130" s="8"/>
      <c r="Z130" s="10" t="n">
        <f aca="false">IF(Q130="","",IF(Q130&lt;=$B$4,N(W130)+N(X130),0))</f>
        <v>0</v>
      </c>
      <c r="AA130" s="10" t="n">
        <f aca="false">IF(OR(LEFT(N130,6)="Larger",LEFT(N130,4)="Memo"),H130,0)</f>
        <v>0</v>
      </c>
      <c r="AB130" s="12" t="str">
        <f aca="false">IFERROR(INDEX('State Rules'!$M$5:$M$11,MATCH($B130,'State Rules'!$A$5:$A$11,0)),"")</f>
        <v>LONG</v>
      </c>
      <c r="AC130" s="22" t="n">
        <f aca="false">IF(AB130="SHORT",P130,IF(AB130="LONG",Q130,""))</f>
        <v>46790</v>
      </c>
      <c r="AD130" s="11" t="str">
        <f aca="false">IF(AB130="SHORT",R130,IF(AB130="LONG",S130,""))</f>
        <v>No</v>
      </c>
    </row>
    <row r="131" customFormat="false" ht="15" hidden="false" customHeight="false" outlineLevel="0" collapsed="false">
      <c r="A131" s="11" t="s">
        <v>42</v>
      </c>
      <c r="B131" s="12" t="str">
        <f aca="false">IF(U131&lt;&gt;"",U131,IFERROR(INDEX(Summary!$B$11:$B$18,MATCH($A131,Summary!$A$11:$A$18,0)),""))</f>
        <v>TX</v>
      </c>
      <c r="C131" s="11" t="s">
        <v>42</v>
      </c>
      <c r="D131" s="11" t="n">
        <v>56</v>
      </c>
      <c r="E131" s="22" t="n">
        <v>45825</v>
      </c>
      <c r="F131" s="11" t="s">
        <v>354</v>
      </c>
      <c r="G131" s="11"/>
      <c r="H131" s="10" t="n">
        <v>2175</v>
      </c>
      <c r="I131" s="11" t="s">
        <v>270</v>
      </c>
      <c r="J131" s="11" t="s">
        <v>101</v>
      </c>
      <c r="K131" s="23" t="n">
        <f aca="false">IF(E131="","",($B$4-E131)/365.25)</f>
        <v>1.30321697467488</v>
      </c>
      <c r="L131" s="11" t="str">
        <f aca="false">IF(K131="","no date",IF(K131&lt;1,"0-1 yrs",IF(K131&lt;2,"1-2 yrs",IF(K131&lt;3,"2-3 yrs",IF(K131&lt;5,"3-5 yrs","5+ yrs")))))</f>
        <v>1-2 yrs</v>
      </c>
      <c r="M131" s="11" t="s">
        <v>101</v>
      </c>
      <c r="N131" s="12" t="str">
        <f aca="false">IF(M131="Yes","Memo flag - not ours / unknown / hold: resolve",IF(OR(COUNTIF(Summary!$C$4:$R$4,H131)&gt;0,AND(A131="Philly",COUNTIF(Summary!$C$5:$R$5,H131)&gt;0),AND(A131="TUR",COUNTIF(Summary!$C$6:$R$6,H131)&gt;0),AND(A131="Leading Edge",COUNTIF(Summary!$C$7:$R$7,H131)&gt;0)),"Fee amount - presumed company revenue",IF(H131&lt;=Summary!$B$8,"Small amount - likely fee, review","Larger amount - likely includes agent commission")))</f>
        <v>Larger amount - likely includes agent commission</v>
      </c>
      <c r="O131" s="12" t="n">
        <f aca="false">IFERROR(INDEX('State Rules'!$C$5:$C$11,MATCH($B131,'State Rules'!$A$5:$A$11,0)),"")</f>
        <v>1</v>
      </c>
      <c r="P131" s="22" t="n">
        <f aca="false">IF(OR(O131="",E131=""),"",EDATE(E131,12*O131))</f>
        <v>46190</v>
      </c>
      <c r="Q131" s="22" t="n">
        <f aca="false">IF(E131="","",IFERROR(EDATE(E131,12*INDEX('State Rules'!$E$5:$E$11,MATCH($B131,'State Rules'!$A$5:$A$11,0))),""))</f>
        <v>46921</v>
      </c>
      <c r="R131" s="11" t="str">
        <f aca="false">IF(P131="","",IFERROR(IF(P131&lt;=INDEX('State Rules'!$I$5:$I$11,MATCH($B131,'State Rules'!$A$5:$A$11,0)),"Yes","No"),""))</f>
        <v>Yes</v>
      </c>
      <c r="S131" s="11" t="str">
        <f aca="false">IF(Q131="","",IFERROR(IF(Q131&lt;=INDEX('State Rules'!$I$5:$I$11,MATCH($B131,'State Rules'!$A$5:$A$11,0)),"Yes","No"),""))</f>
        <v>No</v>
      </c>
      <c r="T131" s="8"/>
      <c r="U131" s="8"/>
      <c r="V131" s="24"/>
      <c r="W131" s="24"/>
      <c r="X131" s="24"/>
      <c r="Y131" s="8"/>
      <c r="Z131" s="10" t="n">
        <f aca="false">IF(Q131="","",IF(Q131&lt;=$B$4,N(W131)+N(X131),0))</f>
        <v>0</v>
      </c>
      <c r="AA131" s="10" t="n">
        <f aca="false">IF(OR(LEFT(N131,6)="Larger",LEFT(N131,4)="Memo"),H131,0)</f>
        <v>2175</v>
      </c>
      <c r="AB131" s="12" t="str">
        <f aca="false">IFERROR(INDEX('State Rules'!$M$5:$M$11,MATCH($B131,'State Rules'!$A$5:$A$11,0)),"")</f>
        <v>LONG</v>
      </c>
      <c r="AC131" s="22" t="n">
        <f aca="false">IF(AB131="SHORT",P131,IF(AB131="LONG",Q131,""))</f>
        <v>46921</v>
      </c>
      <c r="AD131" s="11" t="str">
        <f aca="false">IF(AB131="SHORT",R131,IF(AB131="LONG",S131,""))</f>
        <v>No</v>
      </c>
    </row>
    <row r="132" customFormat="false" ht="15" hidden="false" customHeight="false" outlineLevel="0" collapsed="false">
      <c r="A132" s="11" t="s">
        <v>42</v>
      </c>
      <c r="B132" s="12" t="str">
        <f aca="false">IF(U132&lt;&gt;"",U132,IFERROR(INDEX(Summary!$B$11:$B$18,MATCH($A132,Summary!$A$11:$A$18,0)),""))</f>
        <v>TX</v>
      </c>
      <c r="C132" s="11" t="s">
        <v>42</v>
      </c>
      <c r="D132" s="11" t="n">
        <v>57</v>
      </c>
      <c r="E132" s="22" t="n">
        <v>45873</v>
      </c>
      <c r="F132" s="11" t="s">
        <v>355</v>
      </c>
      <c r="G132" s="11"/>
      <c r="H132" s="10" t="n">
        <v>420</v>
      </c>
      <c r="I132" s="11" t="s">
        <v>356</v>
      </c>
      <c r="J132" s="11" t="s">
        <v>101</v>
      </c>
      <c r="K132" s="23" t="n">
        <f aca="false">IF(E132="","",($B$4-E132)/365.25)</f>
        <v>1.17180013689254</v>
      </c>
      <c r="L132" s="11" t="str">
        <f aca="false">IF(K132="","no date",IF(K132&lt;1,"0-1 yrs",IF(K132&lt;2,"1-2 yrs",IF(K132&lt;3,"2-3 yrs",IF(K132&lt;5,"3-5 yrs","5+ yrs")))))</f>
        <v>1-2 yrs</v>
      </c>
      <c r="M132" s="11" t="s">
        <v>101</v>
      </c>
      <c r="N132" s="12" t="str">
        <f aca="false">IF(M132="Yes","Memo flag - not ours / unknown / hold: resolve",IF(OR(COUNTIF(Summary!$C$4:$R$4,H132)&gt;0,AND(A132="Philly",COUNTIF(Summary!$C$5:$R$5,H132)&gt;0),AND(A132="TUR",COUNTIF(Summary!$C$6:$R$6,H132)&gt;0),AND(A132="Leading Edge",COUNTIF(Summary!$C$7:$R$7,H132)&gt;0)),"Fee amount - presumed company revenue",IF(H132&lt;=Summary!$B$8,"Small amount - likely fee, review","Larger amount - likely includes agent commission")))</f>
        <v>Larger amount - likely includes agent commission</v>
      </c>
      <c r="O132" s="12" t="n">
        <f aca="false">IFERROR(INDEX('State Rules'!$C$5:$C$11,MATCH($B132,'State Rules'!$A$5:$A$11,0)),"")</f>
        <v>1</v>
      </c>
      <c r="P132" s="22" t="n">
        <f aca="false">IF(OR(O132="",E132=""),"",EDATE(E132,12*O132))</f>
        <v>46238</v>
      </c>
      <c r="Q132" s="22" t="n">
        <f aca="false">IF(E132="","",IFERROR(EDATE(E132,12*INDEX('State Rules'!$E$5:$E$11,MATCH($B132,'State Rules'!$A$5:$A$11,0))),""))</f>
        <v>46969</v>
      </c>
      <c r="R132" s="11" t="str">
        <f aca="false">IF(P132="","",IFERROR(IF(P132&lt;=INDEX('State Rules'!$I$5:$I$11,MATCH($B132,'State Rules'!$A$5:$A$11,0)),"Yes","No"),""))</f>
        <v>Yes</v>
      </c>
      <c r="S132" s="11" t="str">
        <f aca="false">IF(Q132="","",IFERROR(IF(Q132&lt;=INDEX('State Rules'!$I$5:$I$11,MATCH($B132,'State Rules'!$A$5:$A$11,0)),"Yes","No"),""))</f>
        <v>No</v>
      </c>
      <c r="T132" s="8"/>
      <c r="U132" s="8"/>
      <c r="V132" s="24"/>
      <c r="W132" s="24"/>
      <c r="X132" s="24"/>
      <c r="Y132" s="8"/>
      <c r="Z132" s="10" t="n">
        <f aca="false">IF(Q132="","",IF(Q132&lt;=$B$4,N(W132)+N(X132),0))</f>
        <v>0</v>
      </c>
      <c r="AA132" s="10" t="n">
        <f aca="false">IF(OR(LEFT(N132,6)="Larger",LEFT(N132,4)="Memo"),H132,0)</f>
        <v>420</v>
      </c>
      <c r="AB132" s="12" t="str">
        <f aca="false">IFERROR(INDEX('State Rules'!$M$5:$M$11,MATCH($B132,'State Rules'!$A$5:$A$11,0)),"")</f>
        <v>LONG</v>
      </c>
      <c r="AC132" s="22" t="n">
        <f aca="false">IF(AB132="SHORT",P132,IF(AB132="LONG",Q132,""))</f>
        <v>46969</v>
      </c>
      <c r="AD132" s="11" t="str">
        <f aca="false">IF(AB132="SHORT",R132,IF(AB132="LONG",S132,""))</f>
        <v>No</v>
      </c>
    </row>
    <row r="133" customFormat="false" ht="15" hidden="false" customHeight="false" outlineLevel="0" collapsed="false">
      <c r="A133" s="11" t="s">
        <v>42</v>
      </c>
      <c r="B133" s="12" t="str">
        <f aca="false">IF(U133&lt;&gt;"",U133,IFERROR(INDEX(Summary!$B$11:$B$18,MATCH($A133,Summary!$A$11:$A$18,0)),""))</f>
        <v>TX</v>
      </c>
      <c r="C133" s="11" t="s">
        <v>42</v>
      </c>
      <c r="D133" s="11" t="n">
        <v>58</v>
      </c>
      <c r="E133" s="22" t="n">
        <v>45930</v>
      </c>
      <c r="F133" s="11" t="s">
        <v>357</v>
      </c>
      <c r="G133" s="11"/>
      <c r="H133" s="10" t="n">
        <v>869.78</v>
      </c>
      <c r="I133" s="11"/>
      <c r="J133" s="11" t="s">
        <v>101</v>
      </c>
      <c r="K133" s="23" t="n">
        <f aca="false">IF(E133="","",($B$4-E133)/365.25)</f>
        <v>1.01574264202601</v>
      </c>
      <c r="L133" s="11" t="str">
        <f aca="false">IF(K133="","no date",IF(K133&lt;1,"0-1 yrs",IF(K133&lt;2,"1-2 yrs",IF(K133&lt;3,"2-3 yrs",IF(K133&lt;5,"3-5 yrs","5+ yrs")))))</f>
        <v>1-2 yrs</v>
      </c>
      <c r="M133" s="11" t="s">
        <v>101</v>
      </c>
      <c r="N133" s="12" t="str">
        <f aca="false">IF(M133="Yes","Memo flag - not ours / unknown / hold: resolve",IF(OR(COUNTIF(Summary!$C$4:$R$4,H133)&gt;0,AND(A133="Philly",COUNTIF(Summary!$C$5:$R$5,H133)&gt;0),AND(A133="TUR",COUNTIF(Summary!$C$6:$R$6,H133)&gt;0),AND(A133="Leading Edge",COUNTIF(Summary!$C$7:$R$7,H133)&gt;0)),"Fee amount - presumed company revenue",IF(H133&lt;=Summary!$B$8,"Small amount - likely fee, review","Larger amount - likely includes agent commission")))</f>
        <v>Larger amount - likely includes agent commission</v>
      </c>
      <c r="O133" s="12" t="n">
        <f aca="false">IFERROR(INDEX('State Rules'!$C$5:$C$11,MATCH($B133,'State Rules'!$A$5:$A$11,0)),"")</f>
        <v>1</v>
      </c>
      <c r="P133" s="22" t="n">
        <f aca="false">IF(OR(O133="",E133=""),"",EDATE(E133,12*O133))</f>
        <v>46295</v>
      </c>
      <c r="Q133" s="22" t="n">
        <f aca="false">IF(E133="","",IFERROR(EDATE(E133,12*INDEX('State Rules'!$E$5:$E$11,MATCH($B133,'State Rules'!$A$5:$A$11,0))),""))</f>
        <v>47026</v>
      </c>
      <c r="R133" s="11" t="str">
        <f aca="false">IF(P133="","",IFERROR(IF(P133&lt;=INDEX('State Rules'!$I$5:$I$11,MATCH($B133,'State Rules'!$A$5:$A$11,0)),"Yes","No"),""))</f>
        <v>Yes</v>
      </c>
      <c r="S133" s="11" t="str">
        <f aca="false">IF(Q133="","",IFERROR(IF(Q133&lt;=INDEX('State Rules'!$I$5:$I$11,MATCH($B133,'State Rules'!$A$5:$A$11,0)),"Yes","No"),""))</f>
        <v>No</v>
      </c>
      <c r="T133" s="8"/>
      <c r="U133" s="8"/>
      <c r="V133" s="24"/>
      <c r="W133" s="24"/>
      <c r="X133" s="24"/>
      <c r="Y133" s="8"/>
      <c r="Z133" s="10" t="n">
        <f aca="false">IF(Q133="","",IF(Q133&lt;=$B$4,N(W133)+N(X133),0))</f>
        <v>0</v>
      </c>
      <c r="AA133" s="10" t="n">
        <f aca="false">IF(OR(LEFT(N133,6)="Larger",LEFT(N133,4)="Memo"),H133,0)</f>
        <v>869.78</v>
      </c>
      <c r="AB133" s="12" t="str">
        <f aca="false">IFERROR(INDEX('State Rules'!$M$5:$M$11,MATCH($B133,'State Rules'!$A$5:$A$11,0)),"")</f>
        <v>LONG</v>
      </c>
      <c r="AC133" s="22" t="n">
        <f aca="false">IF(AB133="SHORT",P133,IF(AB133="LONG",Q133,""))</f>
        <v>47026</v>
      </c>
      <c r="AD133" s="11" t="str">
        <f aca="false">IF(AB133="SHORT",R133,IF(AB133="LONG",S133,""))</f>
        <v>No</v>
      </c>
    </row>
    <row r="134" customFormat="false" ht="15" hidden="false" customHeight="false" outlineLevel="0" collapsed="false">
      <c r="A134" s="11" t="s">
        <v>42</v>
      </c>
      <c r="B134" s="12" t="str">
        <f aca="false">IF(U134&lt;&gt;"",U134,IFERROR(INDEX(Summary!$B$11:$B$18,MATCH($A134,Summary!$A$11:$A$18,0)),""))</f>
        <v>TX</v>
      </c>
      <c r="C134" s="11" t="s">
        <v>42</v>
      </c>
      <c r="D134" s="11" t="n">
        <v>59</v>
      </c>
      <c r="E134" s="22" t="n">
        <v>45966</v>
      </c>
      <c r="F134" s="11" t="s">
        <v>358</v>
      </c>
      <c r="G134" s="11"/>
      <c r="H134" s="10" t="n">
        <v>149</v>
      </c>
      <c r="I134" s="11"/>
      <c r="J134" s="11" t="s">
        <v>101</v>
      </c>
      <c r="K134" s="23" t="n">
        <f aca="false">IF(E134="","",($B$4-E134)/365.25)</f>
        <v>0.917180013689254</v>
      </c>
      <c r="L134" s="11" t="str">
        <f aca="false">IF(K134="","no date",IF(K134&lt;1,"0-1 yrs",IF(K134&lt;2,"1-2 yrs",IF(K134&lt;3,"2-3 yrs",IF(K134&lt;5,"3-5 yrs","5+ yrs")))))</f>
        <v>0-1 yrs</v>
      </c>
      <c r="M134" s="11" t="s">
        <v>101</v>
      </c>
      <c r="N134" s="12" t="str">
        <f aca="false">IF(M134="Yes","Memo flag - not ours / unknown / hold: resolve",IF(OR(COUNTIF(Summary!$C$4:$R$4,H134)&gt;0,AND(A134="Philly",COUNTIF(Summary!$C$5:$R$5,H134)&gt;0),AND(A134="TUR",COUNTIF(Summary!$C$6:$R$6,H134)&gt;0),AND(A134="Leading Edge",COUNTIF(Summary!$C$7:$R$7,H134)&gt;0)),"Fee amount - presumed company revenue",IF(H134&lt;=Summary!$B$8,"Small amount - likely fee, review","Larger amount - likely includes agent commission")))</f>
        <v>Small amount - likely fee, review</v>
      </c>
      <c r="O134" s="12" t="n">
        <f aca="false">IFERROR(INDEX('State Rules'!$C$5:$C$11,MATCH($B134,'State Rules'!$A$5:$A$11,0)),"")</f>
        <v>1</v>
      </c>
      <c r="P134" s="22" t="n">
        <f aca="false">IF(OR(O134="",E134=""),"",EDATE(E134,12*O134))</f>
        <v>46331</v>
      </c>
      <c r="Q134" s="22" t="n">
        <f aca="false">IF(E134="","",IFERROR(EDATE(E134,12*INDEX('State Rules'!$E$5:$E$11,MATCH($B134,'State Rules'!$A$5:$A$11,0))),""))</f>
        <v>47062</v>
      </c>
      <c r="R134" s="11" t="str">
        <f aca="false">IF(P134="","",IFERROR(IF(P134&lt;=INDEX('State Rules'!$I$5:$I$11,MATCH($B134,'State Rules'!$A$5:$A$11,0)),"Yes","No"),""))</f>
        <v>Yes</v>
      </c>
      <c r="S134" s="11" t="str">
        <f aca="false">IF(Q134="","",IFERROR(IF(Q134&lt;=INDEX('State Rules'!$I$5:$I$11,MATCH($B134,'State Rules'!$A$5:$A$11,0)),"Yes","No"),""))</f>
        <v>No</v>
      </c>
      <c r="T134" s="8"/>
      <c r="U134" s="8"/>
      <c r="V134" s="24"/>
      <c r="W134" s="24"/>
      <c r="X134" s="24"/>
      <c r="Y134" s="8"/>
      <c r="Z134" s="10" t="n">
        <f aca="false">IF(Q134="","",IF(Q134&lt;=$B$4,N(W134)+N(X134),0))</f>
        <v>0</v>
      </c>
      <c r="AA134" s="10" t="n">
        <f aca="false">IF(OR(LEFT(N134,6)="Larger",LEFT(N134,4)="Memo"),H134,0)</f>
        <v>0</v>
      </c>
      <c r="AB134" s="12" t="str">
        <f aca="false">IFERROR(INDEX('State Rules'!$M$5:$M$11,MATCH($B134,'State Rules'!$A$5:$A$11,0)),"")</f>
        <v>LONG</v>
      </c>
      <c r="AC134" s="22" t="n">
        <f aca="false">IF(AB134="SHORT",P134,IF(AB134="LONG",Q134,""))</f>
        <v>47062</v>
      </c>
      <c r="AD134" s="11" t="str">
        <f aca="false">IF(AB134="SHORT",R134,IF(AB134="LONG",S134,""))</f>
        <v>No</v>
      </c>
    </row>
    <row r="135" customFormat="false" ht="15" hidden="false" customHeight="false" outlineLevel="0" collapsed="false">
      <c r="A135" s="11" t="s">
        <v>42</v>
      </c>
      <c r="B135" s="12" t="str">
        <f aca="false">IF(U135&lt;&gt;"",U135,IFERROR(INDEX(Summary!$B$11:$B$18,MATCH($A135,Summary!$A$11:$A$18,0)),""))</f>
        <v>TX</v>
      </c>
      <c r="C135" s="11" t="s">
        <v>42</v>
      </c>
      <c r="D135" s="11" t="n">
        <v>60</v>
      </c>
      <c r="E135" s="22" t="n">
        <v>46079</v>
      </c>
      <c r="F135" s="11" t="s">
        <v>359</v>
      </c>
      <c r="G135" s="11" t="s">
        <v>360</v>
      </c>
      <c r="H135" s="10" t="n">
        <v>1397.5</v>
      </c>
      <c r="I135" s="11"/>
      <c r="J135" s="11" t="s">
        <v>101</v>
      </c>
      <c r="K135" s="23" t="n">
        <f aca="false">IF(E135="","",($B$4-E135)/365.25)</f>
        <v>0.607802874743327</v>
      </c>
      <c r="L135" s="11" t="str">
        <f aca="false">IF(K135="","no date",IF(K135&lt;1,"0-1 yrs",IF(K135&lt;2,"1-2 yrs",IF(K135&lt;3,"2-3 yrs",IF(K135&lt;5,"3-5 yrs","5+ yrs")))))</f>
        <v>0-1 yrs</v>
      </c>
      <c r="M135" s="11" t="s">
        <v>101</v>
      </c>
      <c r="N135" s="12" t="str">
        <f aca="false">IF(M135="Yes","Memo flag - not ours / unknown / hold: resolve",IF(OR(COUNTIF(Summary!$C$4:$R$4,H135)&gt;0,AND(A135="Philly",COUNTIF(Summary!$C$5:$R$5,H135)&gt;0),AND(A135="TUR",COUNTIF(Summary!$C$6:$R$6,H135)&gt;0),AND(A135="Leading Edge",COUNTIF(Summary!$C$7:$R$7,H135)&gt;0)),"Fee amount - presumed company revenue",IF(H135&lt;=Summary!$B$8,"Small amount - likely fee, review","Larger amount - likely includes agent commission")))</f>
        <v>Larger amount - likely includes agent commission</v>
      </c>
      <c r="O135" s="12" t="n">
        <f aca="false">IFERROR(INDEX('State Rules'!$C$5:$C$11,MATCH($B135,'State Rules'!$A$5:$A$11,0)),"")</f>
        <v>1</v>
      </c>
      <c r="P135" s="22" t="n">
        <f aca="false">IF(OR(O135="",E135=""),"",EDATE(E135,12*O135))</f>
        <v>46444</v>
      </c>
      <c r="Q135" s="22" t="n">
        <f aca="false">IF(E135="","",IFERROR(EDATE(E135,12*INDEX('State Rules'!$E$5:$E$11,MATCH($B135,'State Rules'!$A$5:$A$11,0))),""))</f>
        <v>47175</v>
      </c>
      <c r="R135" s="11" t="str">
        <f aca="false">IF(P135="","",IFERROR(IF(P135&lt;=INDEX('State Rules'!$I$5:$I$11,MATCH($B135,'State Rules'!$A$5:$A$11,0)),"Yes","No"),""))</f>
        <v>Yes</v>
      </c>
      <c r="S135" s="11" t="str">
        <f aca="false">IF(Q135="","",IFERROR(IF(Q135&lt;=INDEX('State Rules'!$I$5:$I$11,MATCH($B135,'State Rules'!$A$5:$A$11,0)),"Yes","No"),""))</f>
        <v>No</v>
      </c>
      <c r="T135" s="8"/>
      <c r="U135" s="8"/>
      <c r="V135" s="24"/>
      <c r="W135" s="24"/>
      <c r="X135" s="24"/>
      <c r="Y135" s="8"/>
      <c r="Z135" s="10" t="n">
        <f aca="false">IF(Q135="","",IF(Q135&lt;=$B$4,N(W135)+N(X135),0))</f>
        <v>0</v>
      </c>
      <c r="AA135" s="10" t="n">
        <f aca="false">IF(OR(LEFT(N135,6)="Larger",LEFT(N135,4)="Memo"),H135,0)</f>
        <v>1397.5</v>
      </c>
      <c r="AB135" s="12" t="str">
        <f aca="false">IFERROR(INDEX('State Rules'!$M$5:$M$11,MATCH($B135,'State Rules'!$A$5:$A$11,0)),"")</f>
        <v>LONG</v>
      </c>
      <c r="AC135" s="22" t="n">
        <f aca="false">IF(AB135="SHORT",P135,IF(AB135="LONG",Q135,""))</f>
        <v>47175</v>
      </c>
      <c r="AD135" s="11" t="str">
        <f aca="false">IF(AB135="SHORT",R135,IF(AB135="LONG",S135,""))</f>
        <v>No</v>
      </c>
    </row>
    <row r="136" customFormat="false" ht="15" hidden="false" customHeight="false" outlineLevel="0" collapsed="false">
      <c r="A136" s="11" t="s">
        <v>42</v>
      </c>
      <c r="B136" s="12" t="str">
        <f aca="false">IF(U136&lt;&gt;"",U136,IFERROR(INDEX(Summary!$B$11:$B$18,MATCH($A136,Summary!$A$11:$A$18,0)),""))</f>
        <v>TX</v>
      </c>
      <c r="C136" s="11" t="s">
        <v>42</v>
      </c>
      <c r="D136" s="11" t="n">
        <v>61</v>
      </c>
      <c r="E136" s="22" t="n">
        <v>46098</v>
      </c>
      <c r="F136" s="11" t="s">
        <v>361</v>
      </c>
      <c r="G136" s="11" t="s">
        <v>362</v>
      </c>
      <c r="H136" s="10" t="n">
        <v>750</v>
      </c>
      <c r="I136" s="11" t="s">
        <v>363</v>
      </c>
      <c r="J136" s="11" t="s">
        <v>101</v>
      </c>
      <c r="K136" s="23" t="n">
        <f aca="false">IF(E136="","",($B$4-E136)/365.25)</f>
        <v>0.555783709787817</v>
      </c>
      <c r="L136" s="11" t="str">
        <f aca="false">IF(K136="","no date",IF(K136&lt;1,"0-1 yrs",IF(K136&lt;2,"1-2 yrs",IF(K136&lt;3,"2-3 yrs",IF(K136&lt;5,"3-5 yrs","5+ yrs")))))</f>
        <v>0-1 yrs</v>
      </c>
      <c r="M136" s="11" t="s">
        <v>101</v>
      </c>
      <c r="N136" s="12" t="str">
        <f aca="false">IF(M136="Yes","Memo flag - not ours / unknown / hold: resolve",IF(OR(COUNTIF(Summary!$C$4:$R$4,H136)&gt;0,AND(A136="Philly",COUNTIF(Summary!$C$5:$R$5,H136)&gt;0),AND(A136="TUR",COUNTIF(Summary!$C$6:$R$6,H136)&gt;0),AND(A136="Leading Edge",COUNTIF(Summary!$C$7:$R$7,H136)&gt;0)),"Fee amount - presumed company revenue",IF(H136&lt;=Summary!$B$8,"Small amount - likely fee, review","Larger amount - likely includes agent commission")))</f>
        <v>Larger amount - likely includes agent commission</v>
      </c>
      <c r="O136" s="12" t="n">
        <f aca="false">IFERROR(INDEX('State Rules'!$C$5:$C$11,MATCH($B136,'State Rules'!$A$5:$A$11,0)),"")</f>
        <v>1</v>
      </c>
      <c r="P136" s="22" t="n">
        <f aca="false">IF(OR(O136="",E136=""),"",EDATE(E136,12*O136))</f>
        <v>46463</v>
      </c>
      <c r="Q136" s="22" t="n">
        <f aca="false">IF(E136="","",IFERROR(EDATE(E136,12*INDEX('State Rules'!$E$5:$E$11,MATCH($B136,'State Rules'!$A$5:$A$11,0))),""))</f>
        <v>47194</v>
      </c>
      <c r="R136" s="11" t="str">
        <f aca="false">IF(P136="","",IFERROR(IF(P136&lt;=INDEX('State Rules'!$I$5:$I$11,MATCH($B136,'State Rules'!$A$5:$A$11,0)),"Yes","No"),""))</f>
        <v>No</v>
      </c>
      <c r="S136" s="11" t="str">
        <f aca="false">IF(Q136="","",IFERROR(IF(Q136&lt;=INDEX('State Rules'!$I$5:$I$11,MATCH($B136,'State Rules'!$A$5:$A$11,0)),"Yes","No"),""))</f>
        <v>No</v>
      </c>
      <c r="T136" s="8"/>
      <c r="U136" s="8"/>
      <c r="V136" s="24"/>
      <c r="W136" s="24"/>
      <c r="X136" s="24"/>
      <c r="Y136" s="8"/>
      <c r="Z136" s="10" t="n">
        <f aca="false">IF(Q136="","",IF(Q136&lt;=$B$4,N(W136)+N(X136),0))</f>
        <v>0</v>
      </c>
      <c r="AA136" s="10" t="n">
        <f aca="false">IF(OR(LEFT(N136,6)="Larger",LEFT(N136,4)="Memo"),H136,0)</f>
        <v>750</v>
      </c>
      <c r="AB136" s="12" t="str">
        <f aca="false">IFERROR(INDEX('State Rules'!$M$5:$M$11,MATCH($B136,'State Rules'!$A$5:$A$11,0)),"")</f>
        <v>LONG</v>
      </c>
      <c r="AC136" s="22" t="n">
        <f aca="false">IF(AB136="SHORT",P136,IF(AB136="LONG",Q136,""))</f>
        <v>47194</v>
      </c>
      <c r="AD136" s="11" t="str">
        <f aca="false">IF(AB136="SHORT",R136,IF(AB136="LONG",S136,""))</f>
        <v>No</v>
      </c>
    </row>
    <row r="137" customFormat="false" ht="15" hidden="false" customHeight="false" outlineLevel="0" collapsed="false">
      <c r="A137" s="11" t="s">
        <v>42</v>
      </c>
      <c r="B137" s="12" t="str">
        <f aca="false">IF(U137&lt;&gt;"",U137,IFERROR(INDEX(Summary!$B$11:$B$18,MATCH($A137,Summary!$A$11:$A$18,0)),""))</f>
        <v>TX</v>
      </c>
      <c r="C137" s="11" t="s">
        <v>42</v>
      </c>
      <c r="D137" s="11" t="n">
        <v>62</v>
      </c>
      <c r="E137" s="22" t="n">
        <v>46115</v>
      </c>
      <c r="F137" s="11" t="s">
        <v>364</v>
      </c>
      <c r="G137" s="11" t="s">
        <v>365</v>
      </c>
      <c r="H137" s="10" t="n">
        <v>13189.8</v>
      </c>
      <c r="I137" s="11" t="s">
        <v>166</v>
      </c>
      <c r="J137" s="11" t="s">
        <v>101</v>
      </c>
      <c r="K137" s="23" t="n">
        <f aca="false">IF(E137="","",($B$4-E137)/365.25)</f>
        <v>0.509240246406571</v>
      </c>
      <c r="L137" s="11" t="str">
        <f aca="false">IF(K137="","no date",IF(K137&lt;1,"0-1 yrs",IF(K137&lt;2,"1-2 yrs",IF(K137&lt;3,"2-3 yrs",IF(K137&lt;5,"3-5 yrs","5+ yrs")))))</f>
        <v>0-1 yrs</v>
      </c>
      <c r="M137" s="11" t="s">
        <v>101</v>
      </c>
      <c r="N137" s="12" t="str">
        <f aca="false">IF(M137="Yes","Memo flag - not ours / unknown / hold: resolve",IF(OR(COUNTIF(Summary!$C$4:$R$4,H137)&gt;0,AND(A137="Philly",COUNTIF(Summary!$C$5:$R$5,H137)&gt;0),AND(A137="TUR",COUNTIF(Summary!$C$6:$R$6,H137)&gt;0),AND(A137="Leading Edge",COUNTIF(Summary!$C$7:$R$7,H137)&gt;0)),"Fee amount - presumed company revenue",IF(H137&lt;=Summary!$B$8,"Small amount - likely fee, review","Larger amount - likely includes agent commission")))</f>
        <v>Larger amount - likely includes agent commission</v>
      </c>
      <c r="O137" s="12" t="n">
        <f aca="false">IFERROR(INDEX('State Rules'!$C$5:$C$11,MATCH($B137,'State Rules'!$A$5:$A$11,0)),"")</f>
        <v>1</v>
      </c>
      <c r="P137" s="22" t="n">
        <f aca="false">IF(OR(O137="",E137=""),"",EDATE(E137,12*O137))</f>
        <v>46480</v>
      </c>
      <c r="Q137" s="22" t="n">
        <f aca="false">IF(E137="","",IFERROR(EDATE(E137,12*INDEX('State Rules'!$E$5:$E$11,MATCH($B137,'State Rules'!$A$5:$A$11,0))),""))</f>
        <v>47211</v>
      </c>
      <c r="R137" s="11" t="str">
        <f aca="false">IF(P137="","",IFERROR(IF(P137&lt;=INDEX('State Rules'!$I$5:$I$11,MATCH($B137,'State Rules'!$A$5:$A$11,0)),"Yes","No"),""))</f>
        <v>No</v>
      </c>
      <c r="S137" s="11" t="str">
        <f aca="false">IF(Q137="","",IFERROR(IF(Q137&lt;=INDEX('State Rules'!$I$5:$I$11,MATCH($B137,'State Rules'!$A$5:$A$11,0)),"Yes","No"),""))</f>
        <v>No</v>
      </c>
      <c r="T137" s="8"/>
      <c r="U137" s="8"/>
      <c r="V137" s="24"/>
      <c r="W137" s="24"/>
      <c r="X137" s="24"/>
      <c r="Y137" s="8"/>
      <c r="Z137" s="10" t="n">
        <f aca="false">IF(Q137="","",IF(Q137&lt;=$B$4,N(W137)+N(X137),0))</f>
        <v>0</v>
      </c>
      <c r="AA137" s="10" t="n">
        <f aca="false">IF(OR(LEFT(N137,6)="Larger",LEFT(N137,4)="Memo"),H137,0)</f>
        <v>13189.8</v>
      </c>
      <c r="AB137" s="12" t="str">
        <f aca="false">IFERROR(INDEX('State Rules'!$M$5:$M$11,MATCH($B137,'State Rules'!$A$5:$A$11,0)),"")</f>
        <v>LONG</v>
      </c>
      <c r="AC137" s="22" t="n">
        <f aca="false">IF(AB137="SHORT",P137,IF(AB137="LONG",Q137,""))</f>
        <v>47211</v>
      </c>
      <c r="AD137" s="11" t="str">
        <f aca="false">IF(AB137="SHORT",R137,IF(AB137="LONG",S137,""))</f>
        <v>No</v>
      </c>
    </row>
    <row r="138" customFormat="false" ht="15" hidden="false" customHeight="false" outlineLevel="0" collapsed="false">
      <c r="A138" s="11" t="s">
        <v>42</v>
      </c>
      <c r="B138" s="12" t="str">
        <f aca="false">IF(U138&lt;&gt;"",U138,IFERROR(INDEX(Summary!$B$11:$B$18,MATCH($A138,Summary!$A$11:$A$18,0)),""))</f>
        <v>TX</v>
      </c>
      <c r="C138" s="11" t="s">
        <v>42</v>
      </c>
      <c r="D138" s="11" t="n">
        <v>63</v>
      </c>
      <c r="E138" s="22" t="n">
        <v>46141</v>
      </c>
      <c r="F138" s="11" t="s">
        <v>366</v>
      </c>
      <c r="G138" s="11" t="s">
        <v>367</v>
      </c>
      <c r="H138" s="10" t="n">
        <v>445.5</v>
      </c>
      <c r="I138" s="11" t="s">
        <v>368</v>
      </c>
      <c r="J138" s="11" t="s">
        <v>101</v>
      </c>
      <c r="K138" s="23" t="n">
        <f aca="false">IF(E138="","",($B$4-E138)/365.25)</f>
        <v>0.438056125941136</v>
      </c>
      <c r="L138" s="11" t="str">
        <f aca="false">IF(K138="","no date",IF(K138&lt;1,"0-1 yrs",IF(K138&lt;2,"1-2 yrs",IF(K138&lt;3,"2-3 yrs",IF(K138&lt;5,"3-5 yrs","5+ yrs")))))</f>
        <v>0-1 yrs</v>
      </c>
      <c r="M138" s="11" t="s">
        <v>101</v>
      </c>
      <c r="N138" s="12" t="str">
        <f aca="false">IF(M138="Yes","Memo flag - not ours / unknown / hold: resolve",IF(OR(COUNTIF(Summary!$C$4:$R$4,H138)&gt;0,AND(A138="Philly",COUNTIF(Summary!$C$5:$R$5,H138)&gt;0),AND(A138="TUR",COUNTIF(Summary!$C$6:$R$6,H138)&gt;0),AND(A138="Leading Edge",COUNTIF(Summary!$C$7:$R$7,H138)&gt;0)),"Fee amount - presumed company revenue",IF(H138&lt;=Summary!$B$8,"Small amount - likely fee, review","Larger amount - likely includes agent commission")))</f>
        <v>Larger amount - likely includes agent commission</v>
      </c>
      <c r="O138" s="12" t="n">
        <f aca="false">IFERROR(INDEX('State Rules'!$C$5:$C$11,MATCH($B138,'State Rules'!$A$5:$A$11,0)),"")</f>
        <v>1</v>
      </c>
      <c r="P138" s="22" t="n">
        <f aca="false">IF(OR(O138="",E138=""),"",EDATE(E138,12*O138))</f>
        <v>46506</v>
      </c>
      <c r="Q138" s="22" t="n">
        <f aca="false">IF(E138="","",IFERROR(EDATE(E138,12*INDEX('State Rules'!$E$5:$E$11,MATCH($B138,'State Rules'!$A$5:$A$11,0))),""))</f>
        <v>47237</v>
      </c>
      <c r="R138" s="11" t="str">
        <f aca="false">IF(P138="","",IFERROR(IF(P138&lt;=INDEX('State Rules'!$I$5:$I$11,MATCH($B138,'State Rules'!$A$5:$A$11,0)),"Yes","No"),""))</f>
        <v>No</v>
      </c>
      <c r="S138" s="11" t="str">
        <f aca="false">IF(Q138="","",IFERROR(IF(Q138&lt;=INDEX('State Rules'!$I$5:$I$11,MATCH($B138,'State Rules'!$A$5:$A$11,0)),"Yes","No"),""))</f>
        <v>No</v>
      </c>
      <c r="T138" s="8"/>
      <c r="U138" s="8"/>
      <c r="V138" s="24"/>
      <c r="W138" s="24"/>
      <c r="X138" s="24"/>
      <c r="Y138" s="8"/>
      <c r="Z138" s="10" t="n">
        <f aca="false">IF(Q138="","",IF(Q138&lt;=$B$4,N(W138)+N(X138),0))</f>
        <v>0</v>
      </c>
      <c r="AA138" s="10" t="n">
        <f aca="false">IF(OR(LEFT(N138,6)="Larger",LEFT(N138,4)="Memo"),H138,0)</f>
        <v>445.5</v>
      </c>
      <c r="AB138" s="12" t="str">
        <f aca="false">IFERROR(INDEX('State Rules'!$M$5:$M$11,MATCH($B138,'State Rules'!$A$5:$A$11,0)),"")</f>
        <v>LONG</v>
      </c>
      <c r="AC138" s="22" t="n">
        <f aca="false">IF(AB138="SHORT",P138,IF(AB138="LONG",Q138,""))</f>
        <v>47237</v>
      </c>
      <c r="AD138" s="11" t="str">
        <f aca="false">IF(AB138="SHORT",R138,IF(AB138="LONG",S138,""))</f>
        <v>No</v>
      </c>
    </row>
    <row r="139" customFormat="false" ht="15" hidden="false" customHeight="false" outlineLevel="0" collapsed="false">
      <c r="A139" s="11" t="s">
        <v>42</v>
      </c>
      <c r="B139" s="12" t="str">
        <f aca="false">IF(U139&lt;&gt;"",U139,IFERROR(INDEX(Summary!$B$11:$B$18,MATCH($A139,Summary!$A$11:$A$18,0)),""))</f>
        <v>TX</v>
      </c>
      <c r="C139" s="11" t="s">
        <v>42</v>
      </c>
      <c r="D139" s="11" t="n">
        <v>64</v>
      </c>
      <c r="E139" s="22" t="n">
        <v>46143</v>
      </c>
      <c r="F139" s="11" t="s">
        <v>369</v>
      </c>
      <c r="G139" s="11"/>
      <c r="H139" s="10" t="n">
        <v>1100</v>
      </c>
      <c r="I139" s="11" t="s">
        <v>370</v>
      </c>
      <c r="J139" s="11" t="s">
        <v>101</v>
      </c>
      <c r="K139" s="23" t="n">
        <f aca="false">IF(E139="","",($B$4-E139)/365.25)</f>
        <v>0.432580424366872</v>
      </c>
      <c r="L139" s="11" t="str">
        <f aca="false">IF(K139="","no date",IF(K139&lt;1,"0-1 yrs",IF(K139&lt;2,"1-2 yrs",IF(K139&lt;3,"2-3 yrs",IF(K139&lt;5,"3-5 yrs","5+ yrs")))))</f>
        <v>0-1 yrs</v>
      </c>
      <c r="M139" s="11" t="s">
        <v>101</v>
      </c>
      <c r="N139" s="12" t="str">
        <f aca="false">IF(M139="Yes","Memo flag - not ours / unknown / hold: resolve",IF(OR(COUNTIF(Summary!$C$4:$R$4,H139)&gt;0,AND(A139="Philly",COUNTIF(Summary!$C$5:$R$5,H139)&gt;0),AND(A139="TUR",COUNTIF(Summary!$C$6:$R$6,H139)&gt;0),AND(A139="Leading Edge",COUNTIF(Summary!$C$7:$R$7,H139)&gt;0)),"Fee amount - presumed company revenue",IF(H139&lt;=Summary!$B$8,"Small amount - likely fee, review","Larger amount - likely includes agent commission")))</f>
        <v>Larger amount - likely includes agent commission</v>
      </c>
      <c r="O139" s="12" t="n">
        <f aca="false">IFERROR(INDEX('State Rules'!$C$5:$C$11,MATCH($B139,'State Rules'!$A$5:$A$11,0)),"")</f>
        <v>1</v>
      </c>
      <c r="P139" s="22" t="n">
        <f aca="false">IF(OR(O139="",E139=""),"",EDATE(E139,12*O139))</f>
        <v>46508</v>
      </c>
      <c r="Q139" s="22" t="n">
        <f aca="false">IF(E139="","",IFERROR(EDATE(E139,12*INDEX('State Rules'!$E$5:$E$11,MATCH($B139,'State Rules'!$A$5:$A$11,0))),""))</f>
        <v>47239</v>
      </c>
      <c r="R139" s="11" t="str">
        <f aca="false">IF(P139="","",IFERROR(IF(P139&lt;=INDEX('State Rules'!$I$5:$I$11,MATCH($B139,'State Rules'!$A$5:$A$11,0)),"Yes","No"),""))</f>
        <v>No</v>
      </c>
      <c r="S139" s="11" t="str">
        <f aca="false">IF(Q139="","",IFERROR(IF(Q139&lt;=INDEX('State Rules'!$I$5:$I$11,MATCH($B139,'State Rules'!$A$5:$A$11,0)),"Yes","No"),""))</f>
        <v>No</v>
      </c>
      <c r="T139" s="8"/>
      <c r="U139" s="8"/>
      <c r="V139" s="24"/>
      <c r="W139" s="24"/>
      <c r="X139" s="24"/>
      <c r="Y139" s="8"/>
      <c r="Z139" s="10" t="n">
        <f aca="false">IF(Q139="","",IF(Q139&lt;=$B$4,N(W139)+N(X139),0))</f>
        <v>0</v>
      </c>
      <c r="AA139" s="10" t="n">
        <f aca="false">IF(OR(LEFT(N139,6)="Larger",LEFT(N139,4)="Memo"),H139,0)</f>
        <v>1100</v>
      </c>
      <c r="AB139" s="12" t="str">
        <f aca="false">IFERROR(INDEX('State Rules'!$M$5:$M$11,MATCH($B139,'State Rules'!$A$5:$A$11,0)),"")</f>
        <v>LONG</v>
      </c>
      <c r="AC139" s="22" t="n">
        <f aca="false">IF(AB139="SHORT",P139,IF(AB139="LONG",Q139,""))</f>
        <v>47239</v>
      </c>
      <c r="AD139" s="11" t="str">
        <f aca="false">IF(AB139="SHORT",R139,IF(AB139="LONG",S139,""))</f>
        <v>No</v>
      </c>
    </row>
    <row r="140" customFormat="false" ht="15" hidden="false" customHeight="false" outlineLevel="0" collapsed="false">
      <c r="A140" s="11" t="s">
        <v>42</v>
      </c>
      <c r="B140" s="12" t="str">
        <f aca="false">IF(U140&lt;&gt;"",U140,IFERROR(INDEX(Summary!$B$11:$B$18,MATCH($A140,Summary!$A$11:$A$18,0)),""))</f>
        <v>TX</v>
      </c>
      <c r="C140" s="11" t="s">
        <v>42</v>
      </c>
      <c r="D140" s="11" t="n">
        <v>65</v>
      </c>
      <c r="E140" s="22" t="n">
        <v>46175</v>
      </c>
      <c r="F140" s="11" t="s">
        <v>371</v>
      </c>
      <c r="G140" s="11" t="s">
        <v>372</v>
      </c>
      <c r="H140" s="10" t="n">
        <v>600</v>
      </c>
      <c r="I140" s="11" t="s">
        <v>373</v>
      </c>
      <c r="J140" s="11" t="s">
        <v>101</v>
      </c>
      <c r="K140" s="23" t="n">
        <f aca="false">IF(E140="","",($B$4-E140)/365.25)</f>
        <v>0.344969199178645</v>
      </c>
      <c r="L140" s="11" t="str">
        <f aca="false">IF(K140="","no date",IF(K140&lt;1,"0-1 yrs",IF(K140&lt;2,"1-2 yrs",IF(K140&lt;3,"2-3 yrs",IF(K140&lt;5,"3-5 yrs","5+ yrs")))))</f>
        <v>0-1 yrs</v>
      </c>
      <c r="M140" s="11" t="s">
        <v>101</v>
      </c>
      <c r="N140" s="12" t="str">
        <f aca="false">IF(M140="Yes","Memo flag - not ours / unknown / hold: resolve",IF(OR(COUNTIF(Summary!$C$4:$R$4,H140)&gt;0,AND(A140="Philly",COUNTIF(Summary!$C$5:$R$5,H140)&gt;0),AND(A140="TUR",COUNTIF(Summary!$C$6:$R$6,H140)&gt;0),AND(A140="Leading Edge",COUNTIF(Summary!$C$7:$R$7,H140)&gt;0)),"Fee amount - presumed company revenue",IF(H140&lt;=Summary!$B$8,"Small amount - likely fee, review","Larger amount - likely includes agent commission")))</f>
        <v>Larger amount - likely includes agent commission</v>
      </c>
      <c r="O140" s="12" t="n">
        <f aca="false">IFERROR(INDEX('State Rules'!$C$5:$C$11,MATCH($B140,'State Rules'!$A$5:$A$11,0)),"")</f>
        <v>1</v>
      </c>
      <c r="P140" s="22" t="n">
        <f aca="false">IF(OR(O140="",E140=""),"",EDATE(E140,12*O140))</f>
        <v>46540</v>
      </c>
      <c r="Q140" s="22" t="n">
        <f aca="false">IF(E140="","",IFERROR(EDATE(E140,12*INDEX('State Rules'!$E$5:$E$11,MATCH($B140,'State Rules'!$A$5:$A$11,0))),""))</f>
        <v>47271</v>
      </c>
      <c r="R140" s="11" t="str">
        <f aca="false">IF(P140="","",IFERROR(IF(P140&lt;=INDEX('State Rules'!$I$5:$I$11,MATCH($B140,'State Rules'!$A$5:$A$11,0)),"Yes","No"),""))</f>
        <v>No</v>
      </c>
      <c r="S140" s="11" t="str">
        <f aca="false">IF(Q140="","",IFERROR(IF(Q140&lt;=INDEX('State Rules'!$I$5:$I$11,MATCH($B140,'State Rules'!$A$5:$A$11,0)),"Yes","No"),""))</f>
        <v>No</v>
      </c>
      <c r="T140" s="8"/>
      <c r="U140" s="8"/>
      <c r="V140" s="24"/>
      <c r="W140" s="24"/>
      <c r="X140" s="24"/>
      <c r="Y140" s="8"/>
      <c r="Z140" s="10" t="n">
        <f aca="false">IF(Q140="","",IF(Q140&lt;=$B$4,N(W140)+N(X140),0))</f>
        <v>0</v>
      </c>
      <c r="AA140" s="10" t="n">
        <f aca="false">IF(OR(LEFT(N140,6)="Larger",LEFT(N140,4)="Memo"),H140,0)</f>
        <v>600</v>
      </c>
      <c r="AB140" s="12" t="str">
        <f aca="false">IFERROR(INDEX('State Rules'!$M$5:$M$11,MATCH($B140,'State Rules'!$A$5:$A$11,0)),"")</f>
        <v>LONG</v>
      </c>
      <c r="AC140" s="22" t="n">
        <f aca="false">IF(AB140="SHORT",P140,IF(AB140="LONG",Q140,""))</f>
        <v>47271</v>
      </c>
      <c r="AD140" s="11" t="str">
        <f aca="false">IF(AB140="SHORT",R140,IF(AB140="LONG",S140,""))</f>
        <v>No</v>
      </c>
    </row>
    <row r="141" customFormat="false" ht="15" hidden="false" customHeight="false" outlineLevel="0" collapsed="false">
      <c r="A141" s="11" t="s">
        <v>42</v>
      </c>
      <c r="B141" s="12" t="str">
        <f aca="false">IF(U141&lt;&gt;"",U141,IFERROR(INDEX(Summary!$B$11:$B$18,MATCH($A141,Summary!$A$11:$A$18,0)),""))</f>
        <v>TX</v>
      </c>
      <c r="C141" s="11" t="s">
        <v>42</v>
      </c>
      <c r="D141" s="11" t="n">
        <v>66</v>
      </c>
      <c r="E141" s="22" t="n">
        <v>46175</v>
      </c>
      <c r="F141" s="11" t="s">
        <v>374</v>
      </c>
      <c r="G141" s="11" t="s">
        <v>375</v>
      </c>
      <c r="H141" s="10" t="n">
        <v>600</v>
      </c>
      <c r="I141" s="11" t="s">
        <v>373</v>
      </c>
      <c r="J141" s="11" t="s">
        <v>101</v>
      </c>
      <c r="K141" s="23" t="n">
        <f aca="false">IF(E141="","",($B$4-E141)/365.25)</f>
        <v>0.344969199178645</v>
      </c>
      <c r="L141" s="11" t="str">
        <f aca="false">IF(K141="","no date",IF(K141&lt;1,"0-1 yrs",IF(K141&lt;2,"1-2 yrs",IF(K141&lt;3,"2-3 yrs",IF(K141&lt;5,"3-5 yrs","5+ yrs")))))</f>
        <v>0-1 yrs</v>
      </c>
      <c r="M141" s="11" t="s">
        <v>101</v>
      </c>
      <c r="N141" s="12" t="str">
        <f aca="false">IF(M141="Yes","Memo flag - not ours / unknown / hold: resolve",IF(OR(COUNTIF(Summary!$C$4:$R$4,H141)&gt;0,AND(A141="Philly",COUNTIF(Summary!$C$5:$R$5,H141)&gt;0),AND(A141="TUR",COUNTIF(Summary!$C$6:$R$6,H141)&gt;0),AND(A141="Leading Edge",COUNTIF(Summary!$C$7:$R$7,H141)&gt;0)),"Fee amount - presumed company revenue",IF(H141&lt;=Summary!$B$8,"Small amount - likely fee, review","Larger amount - likely includes agent commission")))</f>
        <v>Larger amount - likely includes agent commission</v>
      </c>
      <c r="O141" s="12" t="n">
        <f aca="false">IFERROR(INDEX('State Rules'!$C$5:$C$11,MATCH($B141,'State Rules'!$A$5:$A$11,0)),"")</f>
        <v>1</v>
      </c>
      <c r="P141" s="22" t="n">
        <f aca="false">IF(OR(O141="",E141=""),"",EDATE(E141,12*O141))</f>
        <v>46540</v>
      </c>
      <c r="Q141" s="22" t="n">
        <f aca="false">IF(E141="","",IFERROR(EDATE(E141,12*INDEX('State Rules'!$E$5:$E$11,MATCH($B141,'State Rules'!$A$5:$A$11,0))),""))</f>
        <v>47271</v>
      </c>
      <c r="R141" s="11" t="str">
        <f aca="false">IF(P141="","",IFERROR(IF(P141&lt;=INDEX('State Rules'!$I$5:$I$11,MATCH($B141,'State Rules'!$A$5:$A$11,0)),"Yes","No"),""))</f>
        <v>No</v>
      </c>
      <c r="S141" s="11" t="str">
        <f aca="false">IF(Q141="","",IFERROR(IF(Q141&lt;=INDEX('State Rules'!$I$5:$I$11,MATCH($B141,'State Rules'!$A$5:$A$11,0)),"Yes","No"),""))</f>
        <v>No</v>
      </c>
      <c r="T141" s="8"/>
      <c r="U141" s="8"/>
      <c r="V141" s="24"/>
      <c r="W141" s="24"/>
      <c r="X141" s="24"/>
      <c r="Y141" s="8"/>
      <c r="Z141" s="10" t="n">
        <f aca="false">IF(Q141="","",IF(Q141&lt;=$B$4,N(W141)+N(X141),0))</f>
        <v>0</v>
      </c>
      <c r="AA141" s="10" t="n">
        <f aca="false">IF(OR(LEFT(N141,6)="Larger",LEFT(N141,4)="Memo"),H141,0)</f>
        <v>600</v>
      </c>
      <c r="AB141" s="12" t="str">
        <f aca="false">IFERROR(INDEX('State Rules'!$M$5:$M$11,MATCH($B141,'State Rules'!$A$5:$A$11,0)),"")</f>
        <v>LONG</v>
      </c>
      <c r="AC141" s="22" t="n">
        <f aca="false">IF(AB141="SHORT",P141,IF(AB141="LONG",Q141,""))</f>
        <v>47271</v>
      </c>
      <c r="AD141" s="11" t="str">
        <f aca="false">IF(AB141="SHORT",R141,IF(AB141="LONG",S141,""))</f>
        <v>No</v>
      </c>
    </row>
    <row r="142" customFormat="false" ht="15" hidden="false" customHeight="false" outlineLevel="0" collapsed="false">
      <c r="A142" s="11" t="s">
        <v>42</v>
      </c>
      <c r="B142" s="12" t="str">
        <f aca="false">IF(U142&lt;&gt;"",U142,IFERROR(INDEX(Summary!$B$11:$B$18,MATCH($A142,Summary!$A$11:$A$18,0)),""))</f>
        <v>TX</v>
      </c>
      <c r="C142" s="11" t="s">
        <v>42</v>
      </c>
      <c r="D142" s="11" t="n">
        <v>67</v>
      </c>
      <c r="E142" s="22" t="n">
        <v>46190</v>
      </c>
      <c r="F142" s="11" t="s">
        <v>376</v>
      </c>
      <c r="G142" s="11" t="s">
        <v>377</v>
      </c>
      <c r="H142" s="10" t="n">
        <v>10236.2</v>
      </c>
      <c r="I142" s="11" t="s">
        <v>378</v>
      </c>
      <c r="J142" s="11" t="s">
        <v>101</v>
      </c>
      <c r="K142" s="23" t="n">
        <f aca="false">IF(E142="","",($B$4-E142)/365.25)</f>
        <v>0.303901437371663</v>
      </c>
      <c r="L142" s="11" t="str">
        <f aca="false">IF(K142="","no date",IF(K142&lt;1,"0-1 yrs",IF(K142&lt;2,"1-2 yrs",IF(K142&lt;3,"2-3 yrs",IF(K142&lt;5,"3-5 yrs","5+ yrs")))))</f>
        <v>0-1 yrs</v>
      </c>
      <c r="M142" s="11" t="s">
        <v>101</v>
      </c>
      <c r="N142" s="12" t="str">
        <f aca="false">IF(M142="Yes","Memo flag - not ours / unknown / hold: resolve",IF(OR(COUNTIF(Summary!$C$4:$R$4,H142)&gt;0,AND(A142="Philly",COUNTIF(Summary!$C$5:$R$5,H142)&gt;0),AND(A142="TUR",COUNTIF(Summary!$C$6:$R$6,H142)&gt;0),AND(A142="Leading Edge",COUNTIF(Summary!$C$7:$R$7,H142)&gt;0)),"Fee amount - presumed company revenue",IF(H142&lt;=Summary!$B$8,"Small amount - likely fee, review","Larger amount - likely includes agent commission")))</f>
        <v>Larger amount - likely includes agent commission</v>
      </c>
      <c r="O142" s="12" t="n">
        <f aca="false">IFERROR(INDEX('State Rules'!$C$5:$C$11,MATCH($B142,'State Rules'!$A$5:$A$11,0)),"")</f>
        <v>1</v>
      </c>
      <c r="P142" s="22" t="n">
        <f aca="false">IF(OR(O142="",E142=""),"",EDATE(E142,12*O142))</f>
        <v>46555</v>
      </c>
      <c r="Q142" s="22" t="n">
        <f aca="false">IF(E142="","",IFERROR(EDATE(E142,12*INDEX('State Rules'!$E$5:$E$11,MATCH($B142,'State Rules'!$A$5:$A$11,0))),""))</f>
        <v>47286</v>
      </c>
      <c r="R142" s="11" t="str">
        <f aca="false">IF(P142="","",IFERROR(IF(P142&lt;=INDEX('State Rules'!$I$5:$I$11,MATCH($B142,'State Rules'!$A$5:$A$11,0)),"Yes","No"),""))</f>
        <v>No</v>
      </c>
      <c r="S142" s="11" t="str">
        <f aca="false">IF(Q142="","",IFERROR(IF(Q142&lt;=INDEX('State Rules'!$I$5:$I$11,MATCH($B142,'State Rules'!$A$5:$A$11,0)),"Yes","No"),""))</f>
        <v>No</v>
      </c>
      <c r="T142" s="8"/>
      <c r="U142" s="8"/>
      <c r="V142" s="24"/>
      <c r="W142" s="24"/>
      <c r="X142" s="24"/>
      <c r="Y142" s="8"/>
      <c r="Z142" s="10" t="n">
        <f aca="false">IF(Q142="","",IF(Q142&lt;=$B$4,N(W142)+N(X142),0))</f>
        <v>0</v>
      </c>
      <c r="AA142" s="10" t="n">
        <f aca="false">IF(OR(LEFT(N142,6)="Larger",LEFT(N142,4)="Memo"),H142,0)</f>
        <v>10236.2</v>
      </c>
      <c r="AB142" s="12" t="str">
        <f aca="false">IFERROR(INDEX('State Rules'!$M$5:$M$11,MATCH($B142,'State Rules'!$A$5:$A$11,0)),"")</f>
        <v>LONG</v>
      </c>
      <c r="AC142" s="22" t="n">
        <f aca="false">IF(AB142="SHORT",P142,IF(AB142="LONG",Q142,""))</f>
        <v>47286</v>
      </c>
      <c r="AD142" s="11" t="str">
        <f aca="false">IF(AB142="SHORT",R142,IF(AB142="LONG",S142,""))</f>
        <v>No</v>
      </c>
    </row>
    <row r="143" customFormat="false" ht="15" hidden="false" customHeight="false" outlineLevel="0" collapsed="false">
      <c r="A143" s="11" t="s">
        <v>42</v>
      </c>
      <c r="B143" s="12" t="str">
        <f aca="false">IF(U143&lt;&gt;"",U143,IFERROR(INDEX(Summary!$B$11:$B$18,MATCH($A143,Summary!$A$11:$A$18,0)),""))</f>
        <v>TX</v>
      </c>
      <c r="C143" s="11" t="s">
        <v>42</v>
      </c>
      <c r="D143" s="11" t="n">
        <v>68</v>
      </c>
      <c r="E143" s="22" t="n">
        <v>46197</v>
      </c>
      <c r="F143" s="11"/>
      <c r="G143" s="11" t="s">
        <v>379</v>
      </c>
      <c r="H143" s="10" t="n">
        <v>600</v>
      </c>
      <c r="I143" s="11" t="s">
        <v>380</v>
      </c>
      <c r="J143" s="11" t="s">
        <v>101</v>
      </c>
      <c r="K143" s="23" t="n">
        <f aca="false">IF(E143="","",($B$4-E143)/365.25)</f>
        <v>0.284736481861739</v>
      </c>
      <c r="L143" s="11" t="str">
        <f aca="false">IF(K143="","no date",IF(K143&lt;1,"0-1 yrs",IF(K143&lt;2,"1-2 yrs",IF(K143&lt;3,"2-3 yrs",IF(K143&lt;5,"3-5 yrs","5+ yrs")))))</f>
        <v>0-1 yrs</v>
      </c>
      <c r="M143" s="25" t="s">
        <v>112</v>
      </c>
      <c r="N143" s="12" t="str">
        <f aca="false">IF(M143="Yes","Memo flag - not ours / unknown / hold: resolve",IF(OR(COUNTIF(Summary!$C$4:$R$4,H143)&gt;0,AND(A143="Philly",COUNTIF(Summary!$C$5:$R$5,H143)&gt;0),AND(A143="TUR",COUNTIF(Summary!$C$6:$R$6,H143)&gt;0),AND(A143="Leading Edge",COUNTIF(Summary!$C$7:$R$7,H143)&gt;0)),"Fee amount - presumed company revenue",IF(H143&lt;=Summary!$B$8,"Small amount - likely fee, review","Larger amount - likely includes agent commission")))</f>
        <v>Memo flag - not ours / unknown / hold: resolve</v>
      </c>
      <c r="O143" s="12" t="n">
        <f aca="false">IFERROR(INDEX('State Rules'!$C$5:$C$11,MATCH($B143,'State Rules'!$A$5:$A$11,0)),"")</f>
        <v>1</v>
      </c>
      <c r="P143" s="22" t="n">
        <f aca="false">IF(OR(O143="",E143=""),"",EDATE(E143,12*O143))</f>
        <v>46562</v>
      </c>
      <c r="Q143" s="22" t="n">
        <f aca="false">IF(E143="","",IFERROR(EDATE(E143,12*INDEX('State Rules'!$E$5:$E$11,MATCH($B143,'State Rules'!$A$5:$A$11,0))),""))</f>
        <v>47293</v>
      </c>
      <c r="R143" s="11" t="str">
        <f aca="false">IF(P143="","",IFERROR(IF(P143&lt;=INDEX('State Rules'!$I$5:$I$11,MATCH($B143,'State Rules'!$A$5:$A$11,0)),"Yes","No"),""))</f>
        <v>No</v>
      </c>
      <c r="S143" s="11" t="str">
        <f aca="false">IF(Q143="","",IFERROR(IF(Q143&lt;=INDEX('State Rules'!$I$5:$I$11,MATCH($B143,'State Rules'!$A$5:$A$11,0)),"Yes","No"),""))</f>
        <v>No</v>
      </c>
      <c r="T143" s="8"/>
      <c r="U143" s="8"/>
      <c r="V143" s="24"/>
      <c r="W143" s="24"/>
      <c r="X143" s="24"/>
      <c r="Y143" s="8"/>
      <c r="Z143" s="10" t="n">
        <f aca="false">IF(Q143="","",IF(Q143&lt;=$B$4,N(W143)+N(X143),0))</f>
        <v>0</v>
      </c>
      <c r="AA143" s="10" t="n">
        <f aca="false">IF(OR(LEFT(N143,6)="Larger",LEFT(N143,4)="Memo"),H143,0)</f>
        <v>600</v>
      </c>
      <c r="AB143" s="12" t="str">
        <f aca="false">IFERROR(INDEX('State Rules'!$M$5:$M$11,MATCH($B143,'State Rules'!$A$5:$A$11,0)),"")</f>
        <v>LONG</v>
      </c>
      <c r="AC143" s="22" t="n">
        <f aca="false">IF(AB143="SHORT",P143,IF(AB143="LONG",Q143,""))</f>
        <v>47293</v>
      </c>
      <c r="AD143" s="11" t="str">
        <f aca="false">IF(AB143="SHORT",R143,IF(AB143="LONG",S143,""))</f>
        <v>No</v>
      </c>
    </row>
    <row r="144" customFormat="false" ht="15" hidden="false" customHeight="false" outlineLevel="0" collapsed="false">
      <c r="A144" s="11" t="s">
        <v>42</v>
      </c>
      <c r="B144" s="12" t="str">
        <f aca="false">IF(U144&lt;&gt;"",U144,IFERROR(INDEX(Summary!$B$11:$B$18,MATCH($A144,Summary!$A$11:$A$18,0)),""))</f>
        <v>TX</v>
      </c>
      <c r="C144" s="11" t="s">
        <v>42</v>
      </c>
      <c r="D144" s="11" t="n">
        <v>69</v>
      </c>
      <c r="E144" s="22" t="n">
        <v>46202</v>
      </c>
      <c r="F144" s="11" t="s">
        <v>381</v>
      </c>
      <c r="G144" s="11" t="s">
        <v>382</v>
      </c>
      <c r="H144" s="10" t="n">
        <v>1600</v>
      </c>
      <c r="I144" s="11"/>
      <c r="J144" s="11" t="s">
        <v>101</v>
      </c>
      <c r="K144" s="23" t="n">
        <f aca="false">IF(E144="","",($B$4-E144)/365.25)</f>
        <v>0.271047227926078</v>
      </c>
      <c r="L144" s="11" t="str">
        <f aca="false">IF(K144="","no date",IF(K144&lt;1,"0-1 yrs",IF(K144&lt;2,"1-2 yrs",IF(K144&lt;3,"2-3 yrs",IF(K144&lt;5,"3-5 yrs","5+ yrs")))))</f>
        <v>0-1 yrs</v>
      </c>
      <c r="M144" s="11" t="s">
        <v>101</v>
      </c>
      <c r="N144" s="12" t="str">
        <f aca="false">IF(M144="Yes","Memo flag - not ours / unknown / hold: resolve",IF(OR(COUNTIF(Summary!$C$4:$R$4,H144)&gt;0,AND(A144="Philly",COUNTIF(Summary!$C$5:$R$5,H144)&gt;0),AND(A144="TUR",COUNTIF(Summary!$C$6:$R$6,H144)&gt;0),AND(A144="Leading Edge",COUNTIF(Summary!$C$7:$R$7,H144)&gt;0)),"Fee amount - presumed company revenue",IF(H144&lt;=Summary!$B$8,"Small amount - likely fee, review","Larger amount - likely includes agent commission")))</f>
        <v>Larger amount - likely includes agent commission</v>
      </c>
      <c r="O144" s="12" t="n">
        <f aca="false">IFERROR(INDEX('State Rules'!$C$5:$C$11,MATCH($B144,'State Rules'!$A$5:$A$11,0)),"")</f>
        <v>1</v>
      </c>
      <c r="P144" s="22" t="n">
        <f aca="false">IF(OR(O144="",E144=""),"",EDATE(E144,12*O144))</f>
        <v>46567</v>
      </c>
      <c r="Q144" s="22" t="n">
        <f aca="false">IF(E144="","",IFERROR(EDATE(E144,12*INDEX('State Rules'!$E$5:$E$11,MATCH($B144,'State Rules'!$A$5:$A$11,0))),""))</f>
        <v>47298</v>
      </c>
      <c r="R144" s="11" t="str">
        <f aca="false">IF(P144="","",IFERROR(IF(P144&lt;=INDEX('State Rules'!$I$5:$I$11,MATCH($B144,'State Rules'!$A$5:$A$11,0)),"Yes","No"),""))</f>
        <v>No</v>
      </c>
      <c r="S144" s="11" t="str">
        <f aca="false">IF(Q144="","",IFERROR(IF(Q144&lt;=INDEX('State Rules'!$I$5:$I$11,MATCH($B144,'State Rules'!$A$5:$A$11,0)),"Yes","No"),""))</f>
        <v>No</v>
      </c>
      <c r="T144" s="8"/>
      <c r="U144" s="8"/>
      <c r="V144" s="24"/>
      <c r="W144" s="24"/>
      <c r="X144" s="24"/>
      <c r="Y144" s="8"/>
      <c r="Z144" s="10" t="n">
        <f aca="false">IF(Q144="","",IF(Q144&lt;=$B$4,N(W144)+N(X144),0))</f>
        <v>0</v>
      </c>
      <c r="AA144" s="10" t="n">
        <f aca="false">IF(OR(LEFT(N144,6)="Larger",LEFT(N144,4)="Memo"),H144,0)</f>
        <v>1600</v>
      </c>
      <c r="AB144" s="12" t="str">
        <f aca="false">IFERROR(INDEX('State Rules'!$M$5:$M$11,MATCH($B144,'State Rules'!$A$5:$A$11,0)),"")</f>
        <v>LONG</v>
      </c>
      <c r="AC144" s="22" t="n">
        <f aca="false">IF(AB144="SHORT",P144,IF(AB144="LONG",Q144,""))</f>
        <v>47298</v>
      </c>
      <c r="AD144" s="11" t="str">
        <f aca="false">IF(AB144="SHORT",R144,IF(AB144="LONG",S144,""))</f>
        <v>No</v>
      </c>
    </row>
    <row r="145" customFormat="false" ht="15" hidden="false" customHeight="false" outlineLevel="0" collapsed="false">
      <c r="A145" s="11" t="s">
        <v>42</v>
      </c>
      <c r="B145" s="12" t="str">
        <f aca="false">IF(U145&lt;&gt;"",U145,IFERROR(INDEX(Summary!$B$11:$B$18,MATCH($A145,Summary!$A$11:$A$18,0)),""))</f>
        <v>TX</v>
      </c>
      <c r="C145" s="11" t="s">
        <v>42</v>
      </c>
      <c r="D145" s="11" t="n">
        <v>70</v>
      </c>
      <c r="E145" s="22" t="n">
        <v>46245</v>
      </c>
      <c r="F145" s="11" t="s">
        <v>383</v>
      </c>
      <c r="G145" s="11" t="s">
        <v>384</v>
      </c>
      <c r="H145" s="10" t="n">
        <v>2950</v>
      </c>
      <c r="I145" s="11"/>
      <c r="J145" s="11" t="s">
        <v>101</v>
      </c>
      <c r="K145" s="23" t="n">
        <f aca="false">IF(E145="","",($B$4-E145)/365.25)</f>
        <v>0.153319644079398</v>
      </c>
      <c r="L145" s="11" t="str">
        <f aca="false">IF(K145="","no date",IF(K145&lt;1,"0-1 yrs",IF(K145&lt;2,"1-2 yrs",IF(K145&lt;3,"2-3 yrs",IF(K145&lt;5,"3-5 yrs","5+ yrs")))))</f>
        <v>0-1 yrs</v>
      </c>
      <c r="M145" s="11" t="s">
        <v>101</v>
      </c>
      <c r="N145" s="12" t="str">
        <f aca="false">IF(M145="Yes","Memo flag - not ours / unknown / hold: resolve",IF(OR(COUNTIF(Summary!$C$4:$R$4,H145)&gt;0,AND(A145="Philly",COUNTIF(Summary!$C$5:$R$5,H145)&gt;0),AND(A145="TUR",COUNTIF(Summary!$C$6:$R$6,H145)&gt;0),AND(A145="Leading Edge",COUNTIF(Summary!$C$7:$R$7,H145)&gt;0)),"Fee amount - presumed company revenue",IF(H145&lt;=Summary!$B$8,"Small amount - likely fee, review","Larger amount - likely includes agent commission")))</f>
        <v>Larger amount - likely includes agent commission</v>
      </c>
      <c r="O145" s="12" t="n">
        <f aca="false">IFERROR(INDEX('State Rules'!$C$5:$C$11,MATCH($B145,'State Rules'!$A$5:$A$11,0)),"")</f>
        <v>1</v>
      </c>
      <c r="P145" s="22" t="n">
        <f aca="false">IF(OR(O145="",E145=""),"",EDATE(E145,12*O145))</f>
        <v>46610</v>
      </c>
      <c r="Q145" s="22" t="n">
        <f aca="false">IF(E145="","",IFERROR(EDATE(E145,12*INDEX('State Rules'!$E$5:$E$11,MATCH($B145,'State Rules'!$A$5:$A$11,0))),""))</f>
        <v>47341</v>
      </c>
      <c r="R145" s="11" t="str">
        <f aca="false">IF(P145="","",IFERROR(IF(P145&lt;=INDEX('State Rules'!$I$5:$I$11,MATCH($B145,'State Rules'!$A$5:$A$11,0)),"Yes","No"),""))</f>
        <v>No</v>
      </c>
      <c r="S145" s="11" t="str">
        <f aca="false">IF(Q145="","",IFERROR(IF(Q145&lt;=INDEX('State Rules'!$I$5:$I$11,MATCH($B145,'State Rules'!$A$5:$A$11,0)),"Yes","No"),""))</f>
        <v>No</v>
      </c>
      <c r="T145" s="8"/>
      <c r="U145" s="8"/>
      <c r="V145" s="24"/>
      <c r="W145" s="24"/>
      <c r="X145" s="24"/>
      <c r="Y145" s="8"/>
      <c r="Z145" s="10" t="n">
        <f aca="false">IF(Q145="","",IF(Q145&lt;=$B$4,N(W145)+N(X145),0))</f>
        <v>0</v>
      </c>
      <c r="AA145" s="10" t="n">
        <f aca="false">IF(OR(LEFT(N145,6)="Larger",LEFT(N145,4)="Memo"),H145,0)</f>
        <v>2950</v>
      </c>
      <c r="AB145" s="12" t="str">
        <f aca="false">IFERROR(INDEX('State Rules'!$M$5:$M$11,MATCH($B145,'State Rules'!$A$5:$A$11,0)),"")</f>
        <v>LONG</v>
      </c>
      <c r="AC145" s="22" t="n">
        <f aca="false">IF(AB145="SHORT",P145,IF(AB145="LONG",Q145,""))</f>
        <v>47341</v>
      </c>
      <c r="AD145" s="11" t="str">
        <f aca="false">IF(AB145="SHORT",R145,IF(AB145="LONG",S145,""))</f>
        <v>No</v>
      </c>
    </row>
    <row r="146" customFormat="false" ht="15" hidden="false" customHeight="false" outlineLevel="0" collapsed="false">
      <c r="A146" s="11" t="s">
        <v>42</v>
      </c>
      <c r="B146" s="12" t="str">
        <f aca="false">IF(U146&lt;&gt;"",U146,IFERROR(INDEX(Summary!$B$11:$B$18,MATCH($A146,Summary!$A$11:$A$18,0)),""))</f>
        <v>TX</v>
      </c>
      <c r="C146" s="11" t="s">
        <v>42</v>
      </c>
      <c r="D146" s="11" t="n">
        <v>71</v>
      </c>
      <c r="E146" s="22" t="n">
        <v>46258</v>
      </c>
      <c r="F146" s="11" t="s">
        <v>385</v>
      </c>
      <c r="G146" s="11" t="s">
        <v>386</v>
      </c>
      <c r="H146" s="10" t="n">
        <v>855</v>
      </c>
      <c r="I146" s="11"/>
      <c r="J146" s="11" t="s">
        <v>101</v>
      </c>
      <c r="K146" s="23" t="n">
        <f aca="false">IF(E146="","",($B$4-E146)/365.25)</f>
        <v>0.11772758384668</v>
      </c>
      <c r="L146" s="11" t="str">
        <f aca="false">IF(K146="","no date",IF(K146&lt;1,"0-1 yrs",IF(K146&lt;2,"1-2 yrs",IF(K146&lt;3,"2-3 yrs",IF(K146&lt;5,"3-5 yrs","5+ yrs")))))</f>
        <v>0-1 yrs</v>
      </c>
      <c r="M146" s="11" t="s">
        <v>101</v>
      </c>
      <c r="N146" s="12" t="str">
        <f aca="false">IF(M146="Yes","Memo flag - not ours / unknown / hold: resolve",IF(OR(COUNTIF(Summary!$C$4:$R$4,H146)&gt;0,AND(A146="Philly",COUNTIF(Summary!$C$5:$R$5,H146)&gt;0),AND(A146="TUR",COUNTIF(Summary!$C$6:$R$6,H146)&gt;0),AND(A146="Leading Edge",COUNTIF(Summary!$C$7:$R$7,H146)&gt;0)),"Fee amount - presumed company revenue",IF(H146&lt;=Summary!$B$8,"Small amount - likely fee, review","Larger amount - likely includes agent commission")))</f>
        <v>Larger amount - likely includes agent commission</v>
      </c>
      <c r="O146" s="12" t="n">
        <f aca="false">IFERROR(INDEX('State Rules'!$C$5:$C$11,MATCH($B146,'State Rules'!$A$5:$A$11,0)),"")</f>
        <v>1</v>
      </c>
      <c r="P146" s="22" t="n">
        <f aca="false">IF(OR(O146="",E146=""),"",EDATE(E146,12*O146))</f>
        <v>46623</v>
      </c>
      <c r="Q146" s="22" t="n">
        <f aca="false">IF(E146="","",IFERROR(EDATE(E146,12*INDEX('State Rules'!$E$5:$E$11,MATCH($B146,'State Rules'!$A$5:$A$11,0))),""))</f>
        <v>47354</v>
      </c>
      <c r="R146" s="11" t="str">
        <f aca="false">IF(P146="","",IFERROR(IF(P146&lt;=INDEX('State Rules'!$I$5:$I$11,MATCH($B146,'State Rules'!$A$5:$A$11,0)),"Yes","No"),""))</f>
        <v>No</v>
      </c>
      <c r="S146" s="11" t="str">
        <f aca="false">IF(Q146="","",IFERROR(IF(Q146&lt;=INDEX('State Rules'!$I$5:$I$11,MATCH($B146,'State Rules'!$A$5:$A$11,0)),"Yes","No"),""))</f>
        <v>No</v>
      </c>
      <c r="T146" s="8"/>
      <c r="U146" s="8"/>
      <c r="V146" s="24"/>
      <c r="W146" s="24"/>
      <c r="X146" s="24"/>
      <c r="Y146" s="8"/>
      <c r="Z146" s="10" t="n">
        <f aca="false">IF(Q146="","",IF(Q146&lt;=$B$4,N(W146)+N(X146),0))</f>
        <v>0</v>
      </c>
      <c r="AA146" s="10" t="n">
        <f aca="false">IF(OR(LEFT(N146,6)="Larger",LEFT(N146,4)="Memo"),H146,0)</f>
        <v>855</v>
      </c>
      <c r="AB146" s="12" t="str">
        <f aca="false">IFERROR(INDEX('State Rules'!$M$5:$M$11,MATCH($B146,'State Rules'!$A$5:$A$11,0)),"")</f>
        <v>LONG</v>
      </c>
      <c r="AC146" s="22" t="n">
        <f aca="false">IF(AB146="SHORT",P146,IF(AB146="LONG",Q146,""))</f>
        <v>47354</v>
      </c>
      <c r="AD146" s="11" t="str">
        <f aca="false">IF(AB146="SHORT",R146,IF(AB146="LONG",S146,""))</f>
        <v>No</v>
      </c>
    </row>
    <row r="147" customFormat="false" ht="15" hidden="false" customHeight="false" outlineLevel="0" collapsed="false">
      <c r="A147" s="11" t="s">
        <v>47</v>
      </c>
      <c r="B147" s="12" t="str">
        <f aca="false">IF(U147&lt;&gt;"",U147,IFERROR(INDEX(Summary!$B$11:$B$18,MATCH($A147,Summary!$A$11:$A$18,0)),""))</f>
        <v>TX</v>
      </c>
      <c r="C147" s="11" t="s">
        <v>47</v>
      </c>
      <c r="D147" s="11" t="n">
        <v>22</v>
      </c>
      <c r="E147" s="22" t="n">
        <v>45175</v>
      </c>
      <c r="F147" s="11" t="s">
        <v>387</v>
      </c>
      <c r="G147" s="11"/>
      <c r="H147" s="10" t="n">
        <v>419.35</v>
      </c>
      <c r="I147" s="11" t="s">
        <v>388</v>
      </c>
      <c r="J147" s="11" t="s">
        <v>101</v>
      </c>
      <c r="K147" s="23" t="n">
        <f aca="false">IF(E147="","",($B$4-E147)/365.25)</f>
        <v>3.08281998631075</v>
      </c>
      <c r="L147" s="11" t="str">
        <f aca="false">IF(K147="","no date",IF(K147&lt;1,"0-1 yrs",IF(K147&lt;2,"1-2 yrs",IF(K147&lt;3,"2-3 yrs",IF(K147&lt;5,"3-5 yrs","5+ yrs")))))</f>
        <v>3-5 yrs</v>
      </c>
      <c r="M147" s="11" t="s">
        <v>101</v>
      </c>
      <c r="N147" s="12" t="str">
        <f aca="false">IF(M147="Yes","Memo flag - not ours / unknown / hold: resolve",IF(OR(COUNTIF(Summary!$C$4:$R$4,H147)&gt;0,AND(A147="Philly",COUNTIF(Summary!$C$5:$R$5,H147)&gt;0),AND(A147="TUR",COUNTIF(Summary!$C$6:$R$6,H147)&gt;0),AND(A147="Leading Edge",COUNTIF(Summary!$C$7:$R$7,H147)&gt;0)),"Fee amount - presumed company revenue",IF(H147&lt;=Summary!$B$8,"Small amount - likely fee, review","Larger amount - likely includes agent commission")))</f>
        <v>Larger amount - likely includes agent commission</v>
      </c>
      <c r="O147" s="12" t="n">
        <f aca="false">IFERROR(INDEX('State Rules'!$C$5:$C$11,MATCH($B147,'State Rules'!$A$5:$A$11,0)),"")</f>
        <v>1</v>
      </c>
      <c r="P147" s="22" t="n">
        <f aca="false">IF(OR(O147="",E147=""),"",EDATE(E147,12*O147))</f>
        <v>45541</v>
      </c>
      <c r="Q147" s="22" t="n">
        <f aca="false">IF(E147="","",IFERROR(EDATE(E147,12*INDEX('State Rules'!$E$5:$E$11,MATCH($B147,'State Rules'!$A$5:$A$11,0))),""))</f>
        <v>46271</v>
      </c>
      <c r="R147" s="11" t="str">
        <f aca="false">IF(P147="","",IFERROR(IF(P147&lt;=INDEX('State Rules'!$I$5:$I$11,MATCH($B147,'State Rules'!$A$5:$A$11,0)),"Yes","No"),""))</f>
        <v>Yes</v>
      </c>
      <c r="S147" s="11" t="str">
        <f aca="false">IF(Q147="","",IFERROR(IF(Q147&lt;=INDEX('State Rules'!$I$5:$I$11,MATCH($B147,'State Rules'!$A$5:$A$11,0)),"Yes","No"),""))</f>
        <v>Yes</v>
      </c>
      <c r="T147" s="8"/>
      <c r="U147" s="8"/>
      <c r="V147" s="24"/>
      <c r="W147" s="24"/>
      <c r="X147" s="24"/>
      <c r="Y147" s="8"/>
      <c r="Z147" s="10" t="n">
        <f aca="false">IF(Q147="","",IF(Q147&lt;=$B$4,N(W147)+N(X147),0))</f>
        <v>0</v>
      </c>
      <c r="AA147" s="10" t="n">
        <f aca="false">IF(OR(LEFT(N147,6)="Larger",LEFT(N147,4)="Memo"),H147,0)</f>
        <v>419.35</v>
      </c>
      <c r="AB147" s="12" t="str">
        <f aca="false">IFERROR(INDEX('State Rules'!$M$5:$M$11,MATCH($B147,'State Rules'!$A$5:$A$11,0)),"")</f>
        <v>LONG</v>
      </c>
      <c r="AC147" s="22" t="n">
        <f aca="false">IF(AB147="SHORT",P147,IF(AB147="LONG",Q147,""))</f>
        <v>46271</v>
      </c>
      <c r="AD147" s="11" t="str">
        <f aca="false">IF(AB147="SHORT",R147,IF(AB147="LONG",S147,""))</f>
        <v>Yes</v>
      </c>
    </row>
    <row r="148" customFormat="false" ht="15" hidden="false" customHeight="false" outlineLevel="0" collapsed="false">
      <c r="A148" s="11" t="s">
        <v>47</v>
      </c>
      <c r="B148" s="12" t="str">
        <f aca="false">IF(U148&lt;&gt;"",U148,IFERROR(INDEX(Summary!$B$11:$B$18,MATCH($A148,Summary!$A$11:$A$18,0)),""))</f>
        <v>TX</v>
      </c>
      <c r="C148" s="11" t="s">
        <v>47</v>
      </c>
      <c r="D148" s="11" t="n">
        <v>23</v>
      </c>
      <c r="E148" s="22" t="n">
        <v>45295</v>
      </c>
      <c r="F148" s="11" t="s">
        <v>389</v>
      </c>
      <c r="G148" s="11"/>
      <c r="H148" s="10" t="n">
        <v>495</v>
      </c>
      <c r="I148" s="11" t="s">
        <v>390</v>
      </c>
      <c r="J148" s="11" t="s">
        <v>101</v>
      </c>
      <c r="K148" s="23" t="n">
        <f aca="false">IF(E148="","",($B$4-E148)/365.25)</f>
        <v>2.75427789185489</v>
      </c>
      <c r="L148" s="11" t="str">
        <f aca="false">IF(K148="","no date",IF(K148&lt;1,"0-1 yrs",IF(K148&lt;2,"1-2 yrs",IF(K148&lt;3,"2-3 yrs",IF(K148&lt;5,"3-5 yrs","5+ yrs")))))</f>
        <v>2-3 yrs</v>
      </c>
      <c r="M148" s="11" t="s">
        <v>101</v>
      </c>
      <c r="N148" s="12" t="str">
        <f aca="false">IF(M148="Yes","Memo flag - not ours / unknown / hold: resolve",IF(OR(COUNTIF(Summary!$C$4:$R$4,H148)&gt;0,AND(A148="Philly",COUNTIF(Summary!$C$5:$R$5,H148)&gt;0),AND(A148="TUR",COUNTIF(Summary!$C$6:$R$6,H148)&gt;0),AND(A148="Leading Edge",COUNTIF(Summary!$C$7:$R$7,H148)&gt;0)),"Fee amount - presumed company revenue",IF(H148&lt;=Summary!$B$8,"Small amount - likely fee, review","Larger amount - likely includes agent commission")))</f>
        <v>Fee amount - presumed company revenue</v>
      </c>
      <c r="O148" s="12" t="n">
        <f aca="false">IFERROR(INDEX('State Rules'!$C$5:$C$11,MATCH($B148,'State Rules'!$A$5:$A$11,0)),"")</f>
        <v>1</v>
      </c>
      <c r="P148" s="22" t="n">
        <f aca="false">IF(OR(O148="",E148=""),"",EDATE(E148,12*O148))</f>
        <v>45661</v>
      </c>
      <c r="Q148" s="22" t="n">
        <f aca="false">IF(E148="","",IFERROR(EDATE(E148,12*INDEX('State Rules'!$E$5:$E$11,MATCH($B148,'State Rules'!$A$5:$A$11,0))),""))</f>
        <v>46391</v>
      </c>
      <c r="R148" s="11" t="str">
        <f aca="false">IF(P148="","",IFERROR(IF(P148&lt;=INDEX('State Rules'!$I$5:$I$11,MATCH($B148,'State Rules'!$A$5:$A$11,0)),"Yes","No"),""))</f>
        <v>Yes</v>
      </c>
      <c r="S148" s="11" t="str">
        <f aca="false">IF(Q148="","",IFERROR(IF(Q148&lt;=INDEX('State Rules'!$I$5:$I$11,MATCH($B148,'State Rules'!$A$5:$A$11,0)),"Yes","No"),""))</f>
        <v>Yes</v>
      </c>
      <c r="T148" s="8"/>
      <c r="U148" s="8"/>
      <c r="V148" s="24"/>
      <c r="W148" s="24"/>
      <c r="X148" s="24"/>
      <c r="Y148" s="8"/>
      <c r="Z148" s="10" t="n">
        <f aca="false">IF(Q148="","",IF(Q148&lt;=$B$4,N(W148)+N(X148),0))</f>
        <v>0</v>
      </c>
      <c r="AA148" s="10" t="n">
        <f aca="false">IF(OR(LEFT(N148,6)="Larger",LEFT(N148,4)="Memo"),H148,0)</f>
        <v>0</v>
      </c>
      <c r="AB148" s="12" t="str">
        <f aca="false">IFERROR(INDEX('State Rules'!$M$5:$M$11,MATCH($B148,'State Rules'!$A$5:$A$11,0)),"")</f>
        <v>LONG</v>
      </c>
      <c r="AC148" s="22" t="n">
        <f aca="false">IF(AB148="SHORT",P148,IF(AB148="LONG",Q148,""))</f>
        <v>46391</v>
      </c>
      <c r="AD148" s="11" t="str">
        <f aca="false">IF(AB148="SHORT",R148,IF(AB148="LONG",S148,""))</f>
        <v>Yes</v>
      </c>
    </row>
    <row r="149" customFormat="false" ht="15" hidden="false" customHeight="false" outlineLevel="0" collapsed="false">
      <c r="A149" s="11" t="s">
        <v>47</v>
      </c>
      <c r="B149" s="12" t="str">
        <f aca="false">IF(U149&lt;&gt;"",U149,IFERROR(INDEX(Summary!$B$11:$B$18,MATCH($A149,Summary!$A$11:$A$18,0)),""))</f>
        <v>TX</v>
      </c>
      <c r="C149" s="11" t="s">
        <v>47</v>
      </c>
      <c r="D149" s="11" t="n">
        <v>24</v>
      </c>
      <c r="E149" s="22" t="n">
        <v>45295</v>
      </c>
      <c r="F149" s="11" t="s">
        <v>391</v>
      </c>
      <c r="G149" s="11"/>
      <c r="H149" s="10" t="n">
        <v>4410</v>
      </c>
      <c r="I149" s="11" t="s">
        <v>390</v>
      </c>
      <c r="J149" s="11" t="s">
        <v>101</v>
      </c>
      <c r="K149" s="23" t="n">
        <f aca="false">IF(E149="","",($B$4-E149)/365.25)</f>
        <v>2.75427789185489</v>
      </c>
      <c r="L149" s="11" t="str">
        <f aca="false">IF(K149="","no date",IF(K149&lt;1,"0-1 yrs",IF(K149&lt;2,"1-2 yrs",IF(K149&lt;3,"2-3 yrs",IF(K149&lt;5,"3-5 yrs","5+ yrs")))))</f>
        <v>2-3 yrs</v>
      </c>
      <c r="M149" s="11" t="s">
        <v>101</v>
      </c>
      <c r="N149" s="12" t="str">
        <f aca="false">IF(M149="Yes","Memo flag - not ours / unknown / hold: resolve",IF(OR(COUNTIF(Summary!$C$4:$R$4,H149)&gt;0,AND(A149="Philly",COUNTIF(Summary!$C$5:$R$5,H149)&gt;0),AND(A149="TUR",COUNTIF(Summary!$C$6:$R$6,H149)&gt;0),AND(A149="Leading Edge",COUNTIF(Summary!$C$7:$R$7,H149)&gt;0)),"Fee amount - presumed company revenue",IF(H149&lt;=Summary!$B$8,"Small amount - likely fee, review","Larger amount - likely includes agent commission")))</f>
        <v>Larger amount - likely includes agent commission</v>
      </c>
      <c r="O149" s="12" t="n">
        <f aca="false">IFERROR(INDEX('State Rules'!$C$5:$C$11,MATCH($B149,'State Rules'!$A$5:$A$11,0)),"")</f>
        <v>1</v>
      </c>
      <c r="P149" s="22" t="n">
        <f aca="false">IF(OR(O149="",E149=""),"",EDATE(E149,12*O149))</f>
        <v>45661</v>
      </c>
      <c r="Q149" s="22" t="n">
        <f aca="false">IF(E149="","",IFERROR(EDATE(E149,12*INDEX('State Rules'!$E$5:$E$11,MATCH($B149,'State Rules'!$A$5:$A$11,0))),""))</f>
        <v>46391</v>
      </c>
      <c r="R149" s="11" t="str">
        <f aca="false">IF(P149="","",IFERROR(IF(P149&lt;=INDEX('State Rules'!$I$5:$I$11,MATCH($B149,'State Rules'!$A$5:$A$11,0)),"Yes","No"),""))</f>
        <v>Yes</v>
      </c>
      <c r="S149" s="11" t="str">
        <f aca="false">IF(Q149="","",IFERROR(IF(Q149&lt;=INDEX('State Rules'!$I$5:$I$11,MATCH($B149,'State Rules'!$A$5:$A$11,0)),"Yes","No"),""))</f>
        <v>Yes</v>
      </c>
      <c r="T149" s="8"/>
      <c r="U149" s="8"/>
      <c r="V149" s="24"/>
      <c r="W149" s="24"/>
      <c r="X149" s="24"/>
      <c r="Y149" s="8"/>
      <c r="Z149" s="10" t="n">
        <f aca="false">IF(Q149="","",IF(Q149&lt;=$B$4,N(W149)+N(X149),0))</f>
        <v>0</v>
      </c>
      <c r="AA149" s="10" t="n">
        <f aca="false">IF(OR(LEFT(N149,6)="Larger",LEFT(N149,4)="Memo"),H149,0)</f>
        <v>4410</v>
      </c>
      <c r="AB149" s="12" t="str">
        <f aca="false">IFERROR(INDEX('State Rules'!$M$5:$M$11,MATCH($B149,'State Rules'!$A$5:$A$11,0)),"")</f>
        <v>LONG</v>
      </c>
      <c r="AC149" s="22" t="n">
        <f aca="false">IF(AB149="SHORT",P149,IF(AB149="LONG",Q149,""))</f>
        <v>46391</v>
      </c>
      <c r="AD149" s="11" t="str">
        <f aca="false">IF(AB149="SHORT",R149,IF(AB149="LONG",S149,""))</f>
        <v>Yes</v>
      </c>
    </row>
    <row r="150" customFormat="false" ht="15" hidden="false" customHeight="false" outlineLevel="0" collapsed="false">
      <c r="A150" s="11" t="s">
        <v>47</v>
      </c>
      <c r="B150" s="12" t="str">
        <f aca="false">IF(U150&lt;&gt;"",U150,IFERROR(INDEX(Summary!$B$11:$B$18,MATCH($A150,Summary!$A$11:$A$18,0)),""))</f>
        <v>TX</v>
      </c>
      <c r="C150" s="11" t="s">
        <v>47</v>
      </c>
      <c r="D150" s="11" t="n">
        <v>25</v>
      </c>
      <c r="E150" s="22" t="n">
        <v>45453</v>
      </c>
      <c r="F150" s="11" t="s">
        <v>392</v>
      </c>
      <c r="G150" s="11"/>
      <c r="H150" s="10" t="n">
        <v>500</v>
      </c>
      <c r="I150" s="11" t="s">
        <v>393</v>
      </c>
      <c r="J150" s="11" t="s">
        <v>101</v>
      </c>
      <c r="K150" s="23" t="n">
        <f aca="false">IF(E150="","",($B$4-E150)/365.25)</f>
        <v>2.32169746748802</v>
      </c>
      <c r="L150" s="11" t="str">
        <f aca="false">IF(K150="","no date",IF(K150&lt;1,"0-1 yrs",IF(K150&lt;2,"1-2 yrs",IF(K150&lt;3,"2-3 yrs",IF(K150&lt;5,"3-5 yrs","5+ yrs")))))</f>
        <v>2-3 yrs</v>
      </c>
      <c r="M150" s="11" t="s">
        <v>101</v>
      </c>
      <c r="N150" s="12" t="str">
        <f aca="false">IF(M150="Yes","Memo flag - not ours / unknown / hold: resolve",IF(OR(COUNTIF(Summary!$C$4:$R$4,H150)&gt;0,AND(A150="Philly",COUNTIF(Summary!$C$5:$R$5,H150)&gt;0),AND(A150="TUR",COUNTIF(Summary!$C$6:$R$6,H150)&gt;0),AND(A150="Leading Edge",COUNTIF(Summary!$C$7:$R$7,H150)&gt;0)),"Fee amount - presumed company revenue",IF(H150&lt;=Summary!$B$8,"Small amount - likely fee, review","Larger amount - likely includes agent commission")))</f>
        <v>Larger amount - likely includes agent commission</v>
      </c>
      <c r="O150" s="12" t="n">
        <f aca="false">IFERROR(INDEX('State Rules'!$C$5:$C$11,MATCH($B150,'State Rules'!$A$5:$A$11,0)),"")</f>
        <v>1</v>
      </c>
      <c r="P150" s="22" t="n">
        <f aca="false">IF(OR(O150="",E150=""),"",EDATE(E150,12*O150))</f>
        <v>45818</v>
      </c>
      <c r="Q150" s="22" t="n">
        <f aca="false">IF(E150="","",IFERROR(EDATE(E150,12*INDEX('State Rules'!$E$5:$E$11,MATCH($B150,'State Rules'!$A$5:$A$11,0))),""))</f>
        <v>46548</v>
      </c>
      <c r="R150" s="11" t="str">
        <f aca="false">IF(P150="","",IFERROR(IF(P150&lt;=INDEX('State Rules'!$I$5:$I$11,MATCH($B150,'State Rules'!$A$5:$A$11,0)),"Yes","No"),""))</f>
        <v>Yes</v>
      </c>
      <c r="S150" s="11" t="str">
        <f aca="false">IF(Q150="","",IFERROR(IF(Q150&lt;=INDEX('State Rules'!$I$5:$I$11,MATCH($B150,'State Rules'!$A$5:$A$11,0)),"Yes","No"),""))</f>
        <v>No</v>
      </c>
      <c r="T150" s="8"/>
      <c r="U150" s="8"/>
      <c r="V150" s="24"/>
      <c r="W150" s="24"/>
      <c r="X150" s="24"/>
      <c r="Y150" s="8"/>
      <c r="Z150" s="10" t="n">
        <f aca="false">IF(Q150="","",IF(Q150&lt;=$B$4,N(W150)+N(X150),0))</f>
        <v>0</v>
      </c>
      <c r="AA150" s="10" t="n">
        <f aca="false">IF(OR(LEFT(N150,6)="Larger",LEFT(N150,4)="Memo"),H150,0)</f>
        <v>500</v>
      </c>
      <c r="AB150" s="12" t="str">
        <f aca="false">IFERROR(INDEX('State Rules'!$M$5:$M$11,MATCH($B150,'State Rules'!$A$5:$A$11,0)),"")</f>
        <v>LONG</v>
      </c>
      <c r="AC150" s="22" t="n">
        <f aca="false">IF(AB150="SHORT",P150,IF(AB150="LONG",Q150,""))</f>
        <v>46548</v>
      </c>
      <c r="AD150" s="11" t="str">
        <f aca="false">IF(AB150="SHORT",R150,IF(AB150="LONG",S150,""))</f>
        <v>No</v>
      </c>
    </row>
    <row r="151" customFormat="false" ht="15" hidden="false" customHeight="false" outlineLevel="0" collapsed="false">
      <c r="A151" s="11" t="s">
        <v>47</v>
      </c>
      <c r="B151" s="12" t="str">
        <f aca="false">IF(U151&lt;&gt;"",U151,IFERROR(INDEX(Summary!$B$11:$B$18,MATCH($A151,Summary!$A$11:$A$18,0)),""))</f>
        <v>TX</v>
      </c>
      <c r="C151" s="11" t="s">
        <v>47</v>
      </c>
      <c r="D151" s="11" t="n">
        <v>26</v>
      </c>
      <c r="E151" s="22" t="n">
        <v>45463</v>
      </c>
      <c r="F151" s="11" t="s">
        <v>394</v>
      </c>
      <c r="G151" s="11"/>
      <c r="H151" s="10" t="n">
        <v>995</v>
      </c>
      <c r="I151" s="11" t="s">
        <v>395</v>
      </c>
      <c r="J151" s="11" t="s">
        <v>101</v>
      </c>
      <c r="K151" s="23" t="n">
        <f aca="false">IF(E151="","",($B$4-E151)/365.25)</f>
        <v>2.2943189596167</v>
      </c>
      <c r="L151" s="11" t="str">
        <f aca="false">IF(K151="","no date",IF(K151&lt;1,"0-1 yrs",IF(K151&lt;2,"1-2 yrs",IF(K151&lt;3,"2-3 yrs",IF(K151&lt;5,"3-5 yrs","5+ yrs")))))</f>
        <v>2-3 yrs</v>
      </c>
      <c r="M151" s="11" t="s">
        <v>101</v>
      </c>
      <c r="N151" s="12" t="str">
        <f aca="false">IF(M151="Yes","Memo flag - not ours / unknown / hold: resolve",IF(OR(COUNTIF(Summary!$C$4:$R$4,H151)&gt;0,AND(A151="Philly",COUNTIF(Summary!$C$5:$R$5,H151)&gt;0),AND(A151="TUR",COUNTIF(Summary!$C$6:$R$6,H151)&gt;0),AND(A151="Leading Edge",COUNTIF(Summary!$C$7:$R$7,H151)&gt;0)),"Fee amount - presumed company revenue",IF(H151&lt;=Summary!$B$8,"Small amount - likely fee, review","Larger amount - likely includes agent commission")))</f>
        <v>Fee amount - presumed company revenue</v>
      </c>
      <c r="O151" s="12" t="n">
        <f aca="false">IFERROR(INDEX('State Rules'!$C$5:$C$11,MATCH($B151,'State Rules'!$A$5:$A$11,0)),"")</f>
        <v>1</v>
      </c>
      <c r="P151" s="22" t="n">
        <f aca="false">IF(OR(O151="",E151=""),"",EDATE(E151,12*O151))</f>
        <v>45828</v>
      </c>
      <c r="Q151" s="22" t="n">
        <f aca="false">IF(E151="","",IFERROR(EDATE(E151,12*INDEX('State Rules'!$E$5:$E$11,MATCH($B151,'State Rules'!$A$5:$A$11,0))),""))</f>
        <v>46558</v>
      </c>
      <c r="R151" s="11" t="str">
        <f aca="false">IF(P151="","",IFERROR(IF(P151&lt;=INDEX('State Rules'!$I$5:$I$11,MATCH($B151,'State Rules'!$A$5:$A$11,0)),"Yes","No"),""))</f>
        <v>Yes</v>
      </c>
      <c r="S151" s="11" t="str">
        <f aca="false">IF(Q151="","",IFERROR(IF(Q151&lt;=INDEX('State Rules'!$I$5:$I$11,MATCH($B151,'State Rules'!$A$5:$A$11,0)),"Yes","No"),""))</f>
        <v>No</v>
      </c>
      <c r="T151" s="8"/>
      <c r="U151" s="8"/>
      <c r="V151" s="24"/>
      <c r="W151" s="24"/>
      <c r="X151" s="24"/>
      <c r="Y151" s="8"/>
      <c r="Z151" s="10" t="n">
        <f aca="false">IF(Q151="","",IF(Q151&lt;=$B$4,N(W151)+N(X151),0))</f>
        <v>0</v>
      </c>
      <c r="AA151" s="10" t="n">
        <f aca="false">IF(OR(LEFT(N151,6)="Larger",LEFT(N151,4)="Memo"),H151,0)</f>
        <v>0</v>
      </c>
      <c r="AB151" s="12" t="str">
        <f aca="false">IFERROR(INDEX('State Rules'!$M$5:$M$11,MATCH($B151,'State Rules'!$A$5:$A$11,0)),"")</f>
        <v>LONG</v>
      </c>
      <c r="AC151" s="22" t="n">
        <f aca="false">IF(AB151="SHORT",P151,IF(AB151="LONG",Q151,""))</f>
        <v>46558</v>
      </c>
      <c r="AD151" s="11" t="str">
        <f aca="false">IF(AB151="SHORT",R151,IF(AB151="LONG",S151,""))</f>
        <v>No</v>
      </c>
    </row>
    <row r="152" customFormat="false" ht="15" hidden="false" customHeight="false" outlineLevel="0" collapsed="false">
      <c r="A152" s="11" t="s">
        <v>47</v>
      </c>
      <c r="B152" s="12" t="str">
        <f aca="false">IF(U152&lt;&gt;"",U152,IFERROR(INDEX(Summary!$B$11:$B$18,MATCH($A152,Summary!$A$11:$A$18,0)),""))</f>
        <v>TX</v>
      </c>
      <c r="C152" s="11" t="s">
        <v>47</v>
      </c>
      <c r="D152" s="11" t="n">
        <v>27</v>
      </c>
      <c r="E152" s="22" t="n">
        <v>45463</v>
      </c>
      <c r="F152" s="11" t="s">
        <v>396</v>
      </c>
      <c r="G152" s="11"/>
      <c r="H152" s="10" t="n">
        <v>49</v>
      </c>
      <c r="I152" s="11" t="s">
        <v>397</v>
      </c>
      <c r="J152" s="11" t="s">
        <v>101</v>
      </c>
      <c r="K152" s="23" t="n">
        <f aca="false">IF(E152="","",($B$4-E152)/365.25)</f>
        <v>2.2943189596167</v>
      </c>
      <c r="L152" s="11" t="str">
        <f aca="false">IF(K152="","no date",IF(K152&lt;1,"0-1 yrs",IF(K152&lt;2,"1-2 yrs",IF(K152&lt;3,"2-3 yrs",IF(K152&lt;5,"3-5 yrs","5+ yrs")))))</f>
        <v>2-3 yrs</v>
      </c>
      <c r="M152" s="11" t="s">
        <v>101</v>
      </c>
      <c r="N152" s="12" t="str">
        <f aca="false">IF(M152="Yes","Memo flag - not ours / unknown / hold: resolve",IF(OR(COUNTIF(Summary!$C$4:$R$4,H152)&gt;0,AND(A152="Philly",COUNTIF(Summary!$C$5:$R$5,H152)&gt;0),AND(A152="TUR",COUNTIF(Summary!$C$6:$R$6,H152)&gt;0),AND(A152="Leading Edge",COUNTIF(Summary!$C$7:$R$7,H152)&gt;0)),"Fee amount - presumed company revenue",IF(H152&lt;=Summary!$B$8,"Small amount - likely fee, review","Larger amount - likely includes agent commission")))</f>
        <v>Fee amount - presumed company revenue</v>
      </c>
      <c r="O152" s="12" t="n">
        <f aca="false">IFERROR(INDEX('State Rules'!$C$5:$C$11,MATCH($B152,'State Rules'!$A$5:$A$11,0)),"")</f>
        <v>1</v>
      </c>
      <c r="P152" s="22" t="n">
        <f aca="false">IF(OR(O152="",E152=""),"",EDATE(E152,12*O152))</f>
        <v>45828</v>
      </c>
      <c r="Q152" s="22" t="n">
        <f aca="false">IF(E152="","",IFERROR(EDATE(E152,12*INDEX('State Rules'!$E$5:$E$11,MATCH($B152,'State Rules'!$A$5:$A$11,0))),""))</f>
        <v>46558</v>
      </c>
      <c r="R152" s="11" t="str">
        <f aca="false">IF(P152="","",IFERROR(IF(P152&lt;=INDEX('State Rules'!$I$5:$I$11,MATCH($B152,'State Rules'!$A$5:$A$11,0)),"Yes","No"),""))</f>
        <v>Yes</v>
      </c>
      <c r="S152" s="11" t="str">
        <f aca="false">IF(Q152="","",IFERROR(IF(Q152&lt;=INDEX('State Rules'!$I$5:$I$11,MATCH($B152,'State Rules'!$A$5:$A$11,0)),"Yes","No"),""))</f>
        <v>No</v>
      </c>
      <c r="T152" s="8"/>
      <c r="U152" s="8"/>
      <c r="V152" s="24"/>
      <c r="W152" s="24"/>
      <c r="X152" s="24"/>
      <c r="Y152" s="8"/>
      <c r="Z152" s="10" t="n">
        <f aca="false">IF(Q152="","",IF(Q152&lt;=$B$4,N(W152)+N(X152),0))</f>
        <v>0</v>
      </c>
      <c r="AA152" s="10" t="n">
        <f aca="false">IF(OR(LEFT(N152,6)="Larger",LEFT(N152,4)="Memo"),H152,0)</f>
        <v>0</v>
      </c>
      <c r="AB152" s="12" t="str">
        <f aca="false">IFERROR(INDEX('State Rules'!$M$5:$M$11,MATCH($B152,'State Rules'!$A$5:$A$11,0)),"")</f>
        <v>LONG</v>
      </c>
      <c r="AC152" s="22" t="n">
        <f aca="false">IF(AB152="SHORT",P152,IF(AB152="LONG",Q152,""))</f>
        <v>46558</v>
      </c>
      <c r="AD152" s="11" t="str">
        <f aca="false">IF(AB152="SHORT",R152,IF(AB152="LONG",S152,""))</f>
        <v>No</v>
      </c>
    </row>
    <row r="153" customFormat="false" ht="15" hidden="false" customHeight="false" outlineLevel="0" collapsed="false">
      <c r="A153" s="11" t="s">
        <v>47</v>
      </c>
      <c r="B153" s="12" t="str">
        <f aca="false">IF(U153&lt;&gt;"",U153,IFERROR(INDEX(Summary!$B$11:$B$18,MATCH($A153,Summary!$A$11:$A$18,0)),""))</f>
        <v>TX</v>
      </c>
      <c r="C153" s="11" t="s">
        <v>47</v>
      </c>
      <c r="D153" s="11" t="n">
        <v>28</v>
      </c>
      <c r="E153" s="22" t="n">
        <v>45485</v>
      </c>
      <c r="F153" s="11" t="s">
        <v>398</v>
      </c>
      <c r="G153" s="11"/>
      <c r="H153" s="10" t="n">
        <v>1614</v>
      </c>
      <c r="I153" s="11" t="s">
        <v>399</v>
      </c>
      <c r="J153" s="11" t="s">
        <v>101</v>
      </c>
      <c r="K153" s="23" t="n">
        <f aca="false">IF(E153="","",($B$4-E153)/365.25)</f>
        <v>2.23408624229979</v>
      </c>
      <c r="L153" s="11" t="str">
        <f aca="false">IF(K153="","no date",IF(K153&lt;1,"0-1 yrs",IF(K153&lt;2,"1-2 yrs",IF(K153&lt;3,"2-3 yrs",IF(K153&lt;5,"3-5 yrs","5+ yrs")))))</f>
        <v>2-3 yrs</v>
      </c>
      <c r="M153" s="11" t="s">
        <v>101</v>
      </c>
      <c r="N153" s="12" t="str">
        <f aca="false">IF(M153="Yes","Memo flag - not ours / unknown / hold: resolve",IF(OR(COUNTIF(Summary!$C$4:$R$4,H153)&gt;0,AND(A153="Philly",COUNTIF(Summary!$C$5:$R$5,H153)&gt;0),AND(A153="TUR",COUNTIF(Summary!$C$6:$R$6,H153)&gt;0),AND(A153="Leading Edge",COUNTIF(Summary!$C$7:$R$7,H153)&gt;0)),"Fee amount - presumed company revenue",IF(H153&lt;=Summary!$B$8,"Small amount - likely fee, review","Larger amount - likely includes agent commission")))</f>
        <v>Larger amount - likely includes agent commission</v>
      </c>
      <c r="O153" s="12" t="n">
        <f aca="false">IFERROR(INDEX('State Rules'!$C$5:$C$11,MATCH($B153,'State Rules'!$A$5:$A$11,0)),"")</f>
        <v>1</v>
      </c>
      <c r="P153" s="22" t="n">
        <f aca="false">IF(OR(O153="",E153=""),"",EDATE(E153,12*O153))</f>
        <v>45850</v>
      </c>
      <c r="Q153" s="22" t="n">
        <f aca="false">IF(E153="","",IFERROR(EDATE(E153,12*INDEX('State Rules'!$E$5:$E$11,MATCH($B153,'State Rules'!$A$5:$A$11,0))),""))</f>
        <v>46580</v>
      </c>
      <c r="R153" s="11" t="str">
        <f aca="false">IF(P153="","",IFERROR(IF(P153&lt;=INDEX('State Rules'!$I$5:$I$11,MATCH($B153,'State Rules'!$A$5:$A$11,0)),"Yes","No"),""))</f>
        <v>Yes</v>
      </c>
      <c r="S153" s="11" t="str">
        <f aca="false">IF(Q153="","",IFERROR(IF(Q153&lt;=INDEX('State Rules'!$I$5:$I$11,MATCH($B153,'State Rules'!$A$5:$A$11,0)),"Yes","No"),""))</f>
        <v>No</v>
      </c>
      <c r="T153" s="8"/>
      <c r="U153" s="8"/>
      <c r="V153" s="24"/>
      <c r="W153" s="24"/>
      <c r="X153" s="24"/>
      <c r="Y153" s="8"/>
      <c r="Z153" s="10" t="n">
        <f aca="false">IF(Q153="","",IF(Q153&lt;=$B$4,N(W153)+N(X153),0))</f>
        <v>0</v>
      </c>
      <c r="AA153" s="10" t="n">
        <f aca="false">IF(OR(LEFT(N153,6)="Larger",LEFT(N153,4)="Memo"),H153,0)</f>
        <v>1614</v>
      </c>
      <c r="AB153" s="12" t="str">
        <f aca="false">IFERROR(INDEX('State Rules'!$M$5:$M$11,MATCH($B153,'State Rules'!$A$5:$A$11,0)),"")</f>
        <v>LONG</v>
      </c>
      <c r="AC153" s="22" t="n">
        <f aca="false">IF(AB153="SHORT",P153,IF(AB153="LONG",Q153,""))</f>
        <v>46580</v>
      </c>
      <c r="AD153" s="11" t="str">
        <f aca="false">IF(AB153="SHORT",R153,IF(AB153="LONG",S153,""))</f>
        <v>No</v>
      </c>
    </row>
    <row r="154" customFormat="false" ht="15" hidden="false" customHeight="false" outlineLevel="0" collapsed="false">
      <c r="A154" s="11" t="s">
        <v>47</v>
      </c>
      <c r="B154" s="12" t="str">
        <f aca="false">IF(U154&lt;&gt;"",U154,IFERROR(INDEX(Summary!$B$11:$B$18,MATCH($A154,Summary!$A$11:$A$18,0)),""))</f>
        <v>TX</v>
      </c>
      <c r="C154" s="11" t="s">
        <v>47</v>
      </c>
      <c r="D154" s="11" t="n">
        <v>29</v>
      </c>
      <c r="E154" s="22" t="n">
        <v>45488</v>
      </c>
      <c r="F154" s="11" t="s">
        <v>400</v>
      </c>
      <c r="G154" s="11"/>
      <c r="H154" s="10" t="n">
        <v>400</v>
      </c>
      <c r="I154" s="11" t="s">
        <v>401</v>
      </c>
      <c r="J154" s="11" t="s">
        <v>101</v>
      </c>
      <c r="K154" s="23" t="n">
        <f aca="false">IF(E154="","",($B$4-E154)/365.25)</f>
        <v>2.2258726899384</v>
      </c>
      <c r="L154" s="11" t="str">
        <f aca="false">IF(K154="","no date",IF(K154&lt;1,"0-1 yrs",IF(K154&lt;2,"1-2 yrs",IF(K154&lt;3,"2-3 yrs",IF(K154&lt;5,"3-5 yrs","5+ yrs")))))</f>
        <v>2-3 yrs</v>
      </c>
      <c r="M154" s="11" t="s">
        <v>101</v>
      </c>
      <c r="N154" s="12" t="str">
        <f aca="false">IF(M154="Yes","Memo flag - not ours / unknown / hold: resolve",IF(OR(COUNTIF(Summary!$C$4:$R$4,H154)&gt;0,AND(A154="Philly",COUNTIF(Summary!$C$5:$R$5,H154)&gt;0),AND(A154="TUR",COUNTIF(Summary!$C$6:$R$6,H154)&gt;0),AND(A154="Leading Edge",COUNTIF(Summary!$C$7:$R$7,H154)&gt;0)),"Fee amount - presumed company revenue",IF(H154&lt;=Summary!$B$8,"Small amount - likely fee, review","Larger amount - likely includes agent commission")))</f>
        <v>Larger amount - likely includes agent commission</v>
      </c>
      <c r="O154" s="12" t="n">
        <f aca="false">IFERROR(INDEX('State Rules'!$C$5:$C$11,MATCH($B154,'State Rules'!$A$5:$A$11,0)),"")</f>
        <v>1</v>
      </c>
      <c r="P154" s="22" t="n">
        <f aca="false">IF(OR(O154="",E154=""),"",EDATE(E154,12*O154))</f>
        <v>45853</v>
      </c>
      <c r="Q154" s="22" t="n">
        <f aca="false">IF(E154="","",IFERROR(EDATE(E154,12*INDEX('State Rules'!$E$5:$E$11,MATCH($B154,'State Rules'!$A$5:$A$11,0))),""))</f>
        <v>46583</v>
      </c>
      <c r="R154" s="11" t="str">
        <f aca="false">IF(P154="","",IFERROR(IF(P154&lt;=INDEX('State Rules'!$I$5:$I$11,MATCH($B154,'State Rules'!$A$5:$A$11,0)),"Yes","No"),""))</f>
        <v>Yes</v>
      </c>
      <c r="S154" s="11" t="str">
        <f aca="false">IF(Q154="","",IFERROR(IF(Q154&lt;=INDEX('State Rules'!$I$5:$I$11,MATCH($B154,'State Rules'!$A$5:$A$11,0)),"Yes","No"),""))</f>
        <v>No</v>
      </c>
      <c r="T154" s="8"/>
      <c r="U154" s="8"/>
      <c r="V154" s="24"/>
      <c r="W154" s="24"/>
      <c r="X154" s="24"/>
      <c r="Y154" s="8"/>
      <c r="Z154" s="10" t="n">
        <f aca="false">IF(Q154="","",IF(Q154&lt;=$B$4,N(W154)+N(X154),0))</f>
        <v>0</v>
      </c>
      <c r="AA154" s="10" t="n">
        <f aca="false">IF(OR(LEFT(N154,6)="Larger",LEFT(N154,4)="Memo"),H154,0)</f>
        <v>400</v>
      </c>
      <c r="AB154" s="12" t="str">
        <f aca="false">IFERROR(INDEX('State Rules'!$M$5:$M$11,MATCH($B154,'State Rules'!$A$5:$A$11,0)),"")</f>
        <v>LONG</v>
      </c>
      <c r="AC154" s="22" t="n">
        <f aca="false">IF(AB154="SHORT",P154,IF(AB154="LONG",Q154,""))</f>
        <v>46583</v>
      </c>
      <c r="AD154" s="11" t="str">
        <f aca="false">IF(AB154="SHORT",R154,IF(AB154="LONG",S154,""))</f>
        <v>No</v>
      </c>
    </row>
    <row r="155" customFormat="false" ht="15" hidden="false" customHeight="false" outlineLevel="0" collapsed="false">
      <c r="A155" s="11" t="s">
        <v>47</v>
      </c>
      <c r="B155" s="12" t="str">
        <f aca="false">IF(U155&lt;&gt;"",U155,IFERROR(INDEX(Summary!$B$11:$B$18,MATCH($A155,Summary!$A$11:$A$18,0)),""))</f>
        <v>TX</v>
      </c>
      <c r="C155" s="11" t="s">
        <v>47</v>
      </c>
      <c r="D155" s="11" t="n">
        <v>30</v>
      </c>
      <c r="E155" s="22" t="n">
        <v>45499</v>
      </c>
      <c r="F155" s="11" t="s">
        <v>402</v>
      </c>
      <c r="G155" s="11"/>
      <c r="H155" s="10" t="n">
        <v>400</v>
      </c>
      <c r="I155" s="11" t="s">
        <v>403</v>
      </c>
      <c r="J155" s="11" t="s">
        <v>101</v>
      </c>
      <c r="K155" s="23" t="n">
        <f aca="false">IF(E155="","",($B$4-E155)/365.25)</f>
        <v>2.19575633127995</v>
      </c>
      <c r="L155" s="11" t="str">
        <f aca="false">IF(K155="","no date",IF(K155&lt;1,"0-1 yrs",IF(K155&lt;2,"1-2 yrs",IF(K155&lt;3,"2-3 yrs",IF(K155&lt;5,"3-5 yrs","5+ yrs")))))</f>
        <v>2-3 yrs</v>
      </c>
      <c r="M155" s="11" t="s">
        <v>101</v>
      </c>
      <c r="N155" s="12" t="str">
        <f aca="false">IF(M155="Yes","Memo flag - not ours / unknown / hold: resolve",IF(OR(COUNTIF(Summary!$C$4:$R$4,H155)&gt;0,AND(A155="Philly",COUNTIF(Summary!$C$5:$R$5,H155)&gt;0),AND(A155="TUR",COUNTIF(Summary!$C$6:$R$6,H155)&gt;0),AND(A155="Leading Edge",COUNTIF(Summary!$C$7:$R$7,H155)&gt;0)),"Fee amount - presumed company revenue",IF(H155&lt;=Summary!$B$8,"Small amount - likely fee, review","Larger amount - likely includes agent commission")))</f>
        <v>Larger amount - likely includes agent commission</v>
      </c>
      <c r="O155" s="12" t="n">
        <f aca="false">IFERROR(INDEX('State Rules'!$C$5:$C$11,MATCH($B155,'State Rules'!$A$5:$A$11,0)),"")</f>
        <v>1</v>
      </c>
      <c r="P155" s="22" t="n">
        <f aca="false">IF(OR(O155="",E155=""),"",EDATE(E155,12*O155))</f>
        <v>45864</v>
      </c>
      <c r="Q155" s="22" t="n">
        <f aca="false">IF(E155="","",IFERROR(EDATE(E155,12*INDEX('State Rules'!$E$5:$E$11,MATCH($B155,'State Rules'!$A$5:$A$11,0))),""))</f>
        <v>46594</v>
      </c>
      <c r="R155" s="11" t="str">
        <f aca="false">IF(P155="","",IFERROR(IF(P155&lt;=INDEX('State Rules'!$I$5:$I$11,MATCH($B155,'State Rules'!$A$5:$A$11,0)),"Yes","No"),""))</f>
        <v>Yes</v>
      </c>
      <c r="S155" s="11" t="str">
        <f aca="false">IF(Q155="","",IFERROR(IF(Q155&lt;=INDEX('State Rules'!$I$5:$I$11,MATCH($B155,'State Rules'!$A$5:$A$11,0)),"Yes","No"),""))</f>
        <v>No</v>
      </c>
      <c r="T155" s="8"/>
      <c r="U155" s="8"/>
      <c r="V155" s="24"/>
      <c r="W155" s="24"/>
      <c r="X155" s="24"/>
      <c r="Y155" s="8"/>
      <c r="Z155" s="10" t="n">
        <f aca="false">IF(Q155="","",IF(Q155&lt;=$B$4,N(W155)+N(X155),0))</f>
        <v>0</v>
      </c>
      <c r="AA155" s="10" t="n">
        <f aca="false">IF(OR(LEFT(N155,6)="Larger",LEFT(N155,4)="Memo"),H155,0)</f>
        <v>400</v>
      </c>
      <c r="AB155" s="12" t="str">
        <f aca="false">IFERROR(INDEX('State Rules'!$M$5:$M$11,MATCH($B155,'State Rules'!$A$5:$A$11,0)),"")</f>
        <v>LONG</v>
      </c>
      <c r="AC155" s="22" t="n">
        <f aca="false">IF(AB155="SHORT",P155,IF(AB155="LONG",Q155,""))</f>
        <v>46594</v>
      </c>
      <c r="AD155" s="11" t="str">
        <f aca="false">IF(AB155="SHORT",R155,IF(AB155="LONG",S155,""))</f>
        <v>No</v>
      </c>
    </row>
    <row r="156" customFormat="false" ht="15" hidden="false" customHeight="false" outlineLevel="0" collapsed="false">
      <c r="A156" s="11" t="s">
        <v>47</v>
      </c>
      <c r="B156" s="12" t="str">
        <f aca="false">IF(U156&lt;&gt;"",U156,IFERROR(INDEX(Summary!$B$11:$B$18,MATCH($A156,Summary!$A$11:$A$18,0)),""))</f>
        <v>TX</v>
      </c>
      <c r="C156" s="11" t="s">
        <v>47</v>
      </c>
      <c r="D156" s="11" t="n">
        <v>31</v>
      </c>
      <c r="E156" s="22" t="n">
        <v>45524</v>
      </c>
      <c r="F156" s="11" t="s">
        <v>404</v>
      </c>
      <c r="G156" s="11"/>
      <c r="H156" s="10" t="n">
        <v>595</v>
      </c>
      <c r="I156" s="11" t="s">
        <v>405</v>
      </c>
      <c r="J156" s="11" t="s">
        <v>101</v>
      </c>
      <c r="K156" s="23" t="n">
        <f aca="false">IF(E156="","",($B$4-E156)/365.25)</f>
        <v>2.12731006160164</v>
      </c>
      <c r="L156" s="11" t="str">
        <f aca="false">IF(K156="","no date",IF(K156&lt;1,"0-1 yrs",IF(K156&lt;2,"1-2 yrs",IF(K156&lt;3,"2-3 yrs",IF(K156&lt;5,"3-5 yrs","5+ yrs")))))</f>
        <v>2-3 yrs</v>
      </c>
      <c r="M156" s="11" t="s">
        <v>101</v>
      </c>
      <c r="N156" s="12" t="str">
        <f aca="false">IF(M156="Yes","Memo flag - not ours / unknown / hold: resolve",IF(OR(COUNTIF(Summary!$C$4:$R$4,H156)&gt;0,AND(A156="Philly",COUNTIF(Summary!$C$5:$R$5,H156)&gt;0),AND(A156="TUR",COUNTIF(Summary!$C$6:$R$6,H156)&gt;0),AND(A156="Leading Edge",COUNTIF(Summary!$C$7:$R$7,H156)&gt;0)),"Fee amount - presumed company revenue",IF(H156&lt;=Summary!$B$8,"Small amount - likely fee, review","Larger amount - likely includes agent commission")))</f>
        <v>Fee amount - presumed company revenue</v>
      </c>
      <c r="O156" s="12" t="n">
        <f aca="false">IFERROR(INDEX('State Rules'!$C$5:$C$11,MATCH($B156,'State Rules'!$A$5:$A$11,0)),"")</f>
        <v>1</v>
      </c>
      <c r="P156" s="22" t="n">
        <f aca="false">IF(OR(O156="",E156=""),"",EDATE(E156,12*O156))</f>
        <v>45889</v>
      </c>
      <c r="Q156" s="22" t="n">
        <f aca="false">IF(E156="","",IFERROR(EDATE(E156,12*INDEX('State Rules'!$E$5:$E$11,MATCH($B156,'State Rules'!$A$5:$A$11,0))),""))</f>
        <v>46619</v>
      </c>
      <c r="R156" s="11" t="str">
        <f aca="false">IF(P156="","",IFERROR(IF(P156&lt;=INDEX('State Rules'!$I$5:$I$11,MATCH($B156,'State Rules'!$A$5:$A$11,0)),"Yes","No"),""))</f>
        <v>Yes</v>
      </c>
      <c r="S156" s="11" t="str">
        <f aca="false">IF(Q156="","",IFERROR(IF(Q156&lt;=INDEX('State Rules'!$I$5:$I$11,MATCH($B156,'State Rules'!$A$5:$A$11,0)),"Yes","No"),""))</f>
        <v>No</v>
      </c>
      <c r="T156" s="8"/>
      <c r="U156" s="8"/>
      <c r="V156" s="24"/>
      <c r="W156" s="24"/>
      <c r="X156" s="24"/>
      <c r="Y156" s="8"/>
      <c r="Z156" s="10" t="n">
        <f aca="false">IF(Q156="","",IF(Q156&lt;=$B$4,N(W156)+N(X156),0))</f>
        <v>0</v>
      </c>
      <c r="AA156" s="10" t="n">
        <f aca="false">IF(OR(LEFT(N156,6)="Larger",LEFT(N156,4)="Memo"),H156,0)</f>
        <v>0</v>
      </c>
      <c r="AB156" s="12" t="str">
        <f aca="false">IFERROR(INDEX('State Rules'!$M$5:$M$11,MATCH($B156,'State Rules'!$A$5:$A$11,0)),"")</f>
        <v>LONG</v>
      </c>
      <c r="AC156" s="22" t="n">
        <f aca="false">IF(AB156="SHORT",P156,IF(AB156="LONG",Q156,""))</f>
        <v>46619</v>
      </c>
      <c r="AD156" s="11" t="str">
        <f aca="false">IF(AB156="SHORT",R156,IF(AB156="LONG",S156,""))</f>
        <v>No</v>
      </c>
    </row>
    <row r="157" customFormat="false" ht="15" hidden="false" customHeight="false" outlineLevel="0" collapsed="false">
      <c r="A157" s="11" t="s">
        <v>47</v>
      </c>
      <c r="B157" s="12" t="str">
        <f aca="false">IF(U157&lt;&gt;"",U157,IFERROR(INDEX(Summary!$B$11:$B$18,MATCH($A157,Summary!$A$11:$A$18,0)),""))</f>
        <v>TX</v>
      </c>
      <c r="C157" s="11" t="s">
        <v>47</v>
      </c>
      <c r="D157" s="11" t="n">
        <v>32</v>
      </c>
      <c r="E157" s="22" t="n">
        <v>45532</v>
      </c>
      <c r="F157" s="11" t="s">
        <v>406</v>
      </c>
      <c r="G157" s="11"/>
      <c r="H157" s="10" t="n">
        <v>823.06</v>
      </c>
      <c r="I157" s="11" t="s">
        <v>407</v>
      </c>
      <c r="J157" s="11" t="s">
        <v>101</v>
      </c>
      <c r="K157" s="23" t="n">
        <f aca="false">IF(E157="","",($B$4-E157)/365.25)</f>
        <v>2.10540725530459</v>
      </c>
      <c r="L157" s="11" t="str">
        <f aca="false">IF(K157="","no date",IF(K157&lt;1,"0-1 yrs",IF(K157&lt;2,"1-2 yrs",IF(K157&lt;3,"2-3 yrs",IF(K157&lt;5,"3-5 yrs","5+ yrs")))))</f>
        <v>2-3 yrs</v>
      </c>
      <c r="M157" s="11" t="s">
        <v>101</v>
      </c>
      <c r="N157" s="12" t="str">
        <f aca="false">IF(M157="Yes","Memo flag - not ours / unknown / hold: resolve",IF(OR(COUNTIF(Summary!$C$4:$R$4,H157)&gt;0,AND(A157="Philly",COUNTIF(Summary!$C$5:$R$5,H157)&gt;0),AND(A157="TUR",COUNTIF(Summary!$C$6:$R$6,H157)&gt;0),AND(A157="Leading Edge",COUNTIF(Summary!$C$7:$R$7,H157)&gt;0)),"Fee amount - presumed company revenue",IF(H157&lt;=Summary!$B$8,"Small amount - likely fee, review","Larger amount - likely includes agent commission")))</f>
        <v>Larger amount - likely includes agent commission</v>
      </c>
      <c r="O157" s="12" t="n">
        <f aca="false">IFERROR(INDEX('State Rules'!$C$5:$C$11,MATCH($B157,'State Rules'!$A$5:$A$11,0)),"")</f>
        <v>1</v>
      </c>
      <c r="P157" s="22" t="n">
        <f aca="false">IF(OR(O157="",E157=""),"",EDATE(E157,12*O157))</f>
        <v>45897</v>
      </c>
      <c r="Q157" s="22" t="n">
        <f aca="false">IF(E157="","",IFERROR(EDATE(E157,12*INDEX('State Rules'!$E$5:$E$11,MATCH($B157,'State Rules'!$A$5:$A$11,0))),""))</f>
        <v>46627</v>
      </c>
      <c r="R157" s="11" t="str">
        <f aca="false">IF(P157="","",IFERROR(IF(P157&lt;=INDEX('State Rules'!$I$5:$I$11,MATCH($B157,'State Rules'!$A$5:$A$11,0)),"Yes","No"),""))</f>
        <v>Yes</v>
      </c>
      <c r="S157" s="11" t="str">
        <f aca="false">IF(Q157="","",IFERROR(IF(Q157&lt;=INDEX('State Rules'!$I$5:$I$11,MATCH($B157,'State Rules'!$A$5:$A$11,0)),"Yes","No"),""))</f>
        <v>No</v>
      </c>
      <c r="T157" s="8"/>
      <c r="U157" s="8"/>
      <c r="V157" s="24"/>
      <c r="W157" s="24"/>
      <c r="X157" s="24"/>
      <c r="Y157" s="8"/>
      <c r="Z157" s="10" t="n">
        <f aca="false">IF(Q157="","",IF(Q157&lt;=$B$4,N(W157)+N(X157),0))</f>
        <v>0</v>
      </c>
      <c r="AA157" s="10" t="n">
        <f aca="false">IF(OR(LEFT(N157,6)="Larger",LEFT(N157,4)="Memo"),H157,0)</f>
        <v>823.06</v>
      </c>
      <c r="AB157" s="12" t="str">
        <f aca="false">IFERROR(INDEX('State Rules'!$M$5:$M$11,MATCH($B157,'State Rules'!$A$5:$A$11,0)),"")</f>
        <v>LONG</v>
      </c>
      <c r="AC157" s="22" t="n">
        <f aca="false">IF(AB157="SHORT",P157,IF(AB157="LONG",Q157,""))</f>
        <v>46627</v>
      </c>
      <c r="AD157" s="11" t="str">
        <f aca="false">IF(AB157="SHORT",R157,IF(AB157="LONG",S157,""))</f>
        <v>No</v>
      </c>
    </row>
    <row r="158" customFormat="false" ht="15" hidden="false" customHeight="false" outlineLevel="0" collapsed="false">
      <c r="A158" s="11" t="s">
        <v>47</v>
      </c>
      <c r="B158" s="12" t="str">
        <f aca="false">IF(U158&lt;&gt;"",U158,IFERROR(INDEX(Summary!$B$11:$B$18,MATCH($A158,Summary!$A$11:$A$18,0)),""))</f>
        <v>TX</v>
      </c>
      <c r="C158" s="11" t="s">
        <v>47</v>
      </c>
      <c r="D158" s="11" t="n">
        <v>33</v>
      </c>
      <c r="E158" s="22" t="n">
        <v>45588</v>
      </c>
      <c r="F158" s="11" t="s">
        <v>408</v>
      </c>
      <c r="G158" s="11"/>
      <c r="H158" s="10" t="n">
        <v>495</v>
      </c>
      <c r="I158" s="11" t="s">
        <v>166</v>
      </c>
      <c r="J158" s="11" t="s">
        <v>101</v>
      </c>
      <c r="K158" s="23" t="n">
        <f aca="false">IF(E158="","",($B$4-E158)/365.25)</f>
        <v>1.95208761122519</v>
      </c>
      <c r="L158" s="11" t="str">
        <f aca="false">IF(K158="","no date",IF(K158&lt;1,"0-1 yrs",IF(K158&lt;2,"1-2 yrs",IF(K158&lt;3,"2-3 yrs",IF(K158&lt;5,"3-5 yrs","5+ yrs")))))</f>
        <v>1-2 yrs</v>
      </c>
      <c r="M158" s="11" t="s">
        <v>101</v>
      </c>
      <c r="N158" s="12" t="str">
        <f aca="false">IF(M158="Yes","Memo flag - not ours / unknown / hold: resolve",IF(OR(COUNTIF(Summary!$C$4:$R$4,H158)&gt;0,AND(A158="Philly",COUNTIF(Summary!$C$5:$R$5,H158)&gt;0),AND(A158="TUR",COUNTIF(Summary!$C$6:$R$6,H158)&gt;0),AND(A158="Leading Edge",COUNTIF(Summary!$C$7:$R$7,H158)&gt;0)),"Fee amount - presumed company revenue",IF(H158&lt;=Summary!$B$8,"Small amount - likely fee, review","Larger amount - likely includes agent commission")))</f>
        <v>Fee amount - presumed company revenue</v>
      </c>
      <c r="O158" s="12" t="n">
        <f aca="false">IFERROR(INDEX('State Rules'!$C$5:$C$11,MATCH($B158,'State Rules'!$A$5:$A$11,0)),"")</f>
        <v>1</v>
      </c>
      <c r="P158" s="22" t="n">
        <f aca="false">IF(OR(O158="",E158=""),"",EDATE(E158,12*O158))</f>
        <v>45953</v>
      </c>
      <c r="Q158" s="22" t="n">
        <f aca="false">IF(E158="","",IFERROR(EDATE(E158,12*INDEX('State Rules'!$E$5:$E$11,MATCH($B158,'State Rules'!$A$5:$A$11,0))),""))</f>
        <v>46683</v>
      </c>
      <c r="R158" s="11" t="str">
        <f aca="false">IF(P158="","",IFERROR(IF(P158&lt;=INDEX('State Rules'!$I$5:$I$11,MATCH($B158,'State Rules'!$A$5:$A$11,0)),"Yes","No"),""))</f>
        <v>Yes</v>
      </c>
      <c r="S158" s="11" t="str">
        <f aca="false">IF(Q158="","",IFERROR(IF(Q158&lt;=INDEX('State Rules'!$I$5:$I$11,MATCH($B158,'State Rules'!$A$5:$A$11,0)),"Yes","No"),""))</f>
        <v>No</v>
      </c>
      <c r="T158" s="8"/>
      <c r="U158" s="8"/>
      <c r="V158" s="24"/>
      <c r="W158" s="24"/>
      <c r="X158" s="24"/>
      <c r="Y158" s="8"/>
      <c r="Z158" s="10" t="n">
        <f aca="false">IF(Q158="","",IF(Q158&lt;=$B$4,N(W158)+N(X158),0))</f>
        <v>0</v>
      </c>
      <c r="AA158" s="10" t="n">
        <f aca="false">IF(OR(LEFT(N158,6)="Larger",LEFT(N158,4)="Memo"),H158,0)</f>
        <v>0</v>
      </c>
      <c r="AB158" s="12" t="str">
        <f aca="false">IFERROR(INDEX('State Rules'!$M$5:$M$11,MATCH($B158,'State Rules'!$A$5:$A$11,0)),"")</f>
        <v>LONG</v>
      </c>
      <c r="AC158" s="22" t="n">
        <f aca="false">IF(AB158="SHORT",P158,IF(AB158="LONG",Q158,""))</f>
        <v>46683</v>
      </c>
      <c r="AD158" s="11" t="str">
        <f aca="false">IF(AB158="SHORT",R158,IF(AB158="LONG",S158,""))</f>
        <v>No</v>
      </c>
    </row>
    <row r="159" customFormat="false" ht="15" hidden="false" customHeight="false" outlineLevel="0" collapsed="false">
      <c r="A159" s="11" t="s">
        <v>47</v>
      </c>
      <c r="B159" s="12" t="str">
        <f aca="false">IF(U159&lt;&gt;"",U159,IFERROR(INDEX(Summary!$B$11:$B$18,MATCH($A159,Summary!$A$11:$A$18,0)),""))</f>
        <v>TX</v>
      </c>
      <c r="C159" s="11" t="s">
        <v>47</v>
      </c>
      <c r="D159" s="11" t="n">
        <v>34</v>
      </c>
      <c r="E159" s="22" t="n">
        <v>45597</v>
      </c>
      <c r="F159" s="11" t="s">
        <v>409</v>
      </c>
      <c r="G159" s="11"/>
      <c r="H159" s="10" t="n">
        <v>152</v>
      </c>
      <c r="I159" s="11"/>
      <c r="J159" s="11" t="s">
        <v>101</v>
      </c>
      <c r="K159" s="23" t="n">
        <f aca="false">IF(E159="","",($B$4-E159)/365.25)</f>
        <v>1.927446954141</v>
      </c>
      <c r="L159" s="11" t="str">
        <f aca="false">IF(K159="","no date",IF(K159&lt;1,"0-1 yrs",IF(K159&lt;2,"1-2 yrs",IF(K159&lt;3,"2-3 yrs",IF(K159&lt;5,"3-5 yrs","5+ yrs")))))</f>
        <v>1-2 yrs</v>
      </c>
      <c r="M159" s="11" t="s">
        <v>101</v>
      </c>
      <c r="N159" s="12" t="str">
        <f aca="false">IF(M159="Yes","Memo flag - not ours / unknown / hold: resolve",IF(OR(COUNTIF(Summary!$C$4:$R$4,H159)&gt;0,AND(A159="Philly",COUNTIF(Summary!$C$5:$R$5,H159)&gt;0),AND(A159="TUR",COUNTIF(Summary!$C$6:$R$6,H159)&gt;0),AND(A159="Leading Edge",COUNTIF(Summary!$C$7:$R$7,H159)&gt;0)),"Fee amount - presumed company revenue",IF(H159&lt;=Summary!$B$8,"Small amount - likely fee, review","Larger amount - likely includes agent commission")))</f>
        <v>Small amount - likely fee, review</v>
      </c>
      <c r="O159" s="12" t="n">
        <f aca="false">IFERROR(INDEX('State Rules'!$C$5:$C$11,MATCH($B159,'State Rules'!$A$5:$A$11,0)),"")</f>
        <v>1</v>
      </c>
      <c r="P159" s="22" t="n">
        <f aca="false">IF(OR(O159="",E159=""),"",EDATE(E159,12*O159))</f>
        <v>45962</v>
      </c>
      <c r="Q159" s="22" t="n">
        <f aca="false">IF(E159="","",IFERROR(EDATE(E159,12*INDEX('State Rules'!$E$5:$E$11,MATCH($B159,'State Rules'!$A$5:$A$11,0))),""))</f>
        <v>46692</v>
      </c>
      <c r="R159" s="11" t="str">
        <f aca="false">IF(P159="","",IFERROR(IF(P159&lt;=INDEX('State Rules'!$I$5:$I$11,MATCH($B159,'State Rules'!$A$5:$A$11,0)),"Yes","No"),""))</f>
        <v>Yes</v>
      </c>
      <c r="S159" s="11" t="str">
        <f aca="false">IF(Q159="","",IFERROR(IF(Q159&lt;=INDEX('State Rules'!$I$5:$I$11,MATCH($B159,'State Rules'!$A$5:$A$11,0)),"Yes","No"),""))</f>
        <v>No</v>
      </c>
      <c r="T159" s="8"/>
      <c r="U159" s="8"/>
      <c r="V159" s="24"/>
      <c r="W159" s="24"/>
      <c r="X159" s="24"/>
      <c r="Y159" s="8"/>
      <c r="Z159" s="10" t="n">
        <f aca="false">IF(Q159="","",IF(Q159&lt;=$B$4,N(W159)+N(X159),0))</f>
        <v>0</v>
      </c>
      <c r="AA159" s="10" t="n">
        <f aca="false">IF(OR(LEFT(N159,6)="Larger",LEFT(N159,4)="Memo"),H159,0)</f>
        <v>0</v>
      </c>
      <c r="AB159" s="12" t="str">
        <f aca="false">IFERROR(INDEX('State Rules'!$M$5:$M$11,MATCH($B159,'State Rules'!$A$5:$A$11,0)),"")</f>
        <v>LONG</v>
      </c>
      <c r="AC159" s="22" t="n">
        <f aca="false">IF(AB159="SHORT",P159,IF(AB159="LONG",Q159,""))</f>
        <v>46692</v>
      </c>
      <c r="AD159" s="11" t="str">
        <f aca="false">IF(AB159="SHORT",R159,IF(AB159="LONG",S159,""))</f>
        <v>No</v>
      </c>
    </row>
    <row r="160" customFormat="false" ht="15" hidden="false" customHeight="false" outlineLevel="0" collapsed="false">
      <c r="A160" s="11" t="s">
        <v>47</v>
      </c>
      <c r="B160" s="12" t="str">
        <f aca="false">IF(U160&lt;&gt;"",U160,IFERROR(INDEX(Summary!$B$11:$B$18,MATCH($A160,Summary!$A$11:$A$18,0)),""))</f>
        <v>TX</v>
      </c>
      <c r="C160" s="11" t="s">
        <v>47</v>
      </c>
      <c r="D160" s="11" t="n">
        <v>35</v>
      </c>
      <c r="E160" s="22" t="n">
        <v>45611</v>
      </c>
      <c r="F160" s="11" t="s">
        <v>410</v>
      </c>
      <c r="G160" s="11"/>
      <c r="H160" s="10" t="n">
        <v>270</v>
      </c>
      <c r="I160" s="11" t="s">
        <v>411</v>
      </c>
      <c r="J160" s="11" t="s">
        <v>101</v>
      </c>
      <c r="K160" s="23" t="n">
        <f aca="false">IF(E160="","",($B$4-E160)/365.25)</f>
        <v>1.88911704312115</v>
      </c>
      <c r="L160" s="11" t="str">
        <f aca="false">IF(K160="","no date",IF(K160&lt;1,"0-1 yrs",IF(K160&lt;2,"1-2 yrs",IF(K160&lt;3,"2-3 yrs",IF(K160&lt;5,"3-5 yrs","5+ yrs")))))</f>
        <v>1-2 yrs</v>
      </c>
      <c r="M160" s="11" t="s">
        <v>101</v>
      </c>
      <c r="N160" s="12" t="str">
        <f aca="false">IF(M160="Yes","Memo flag - not ours / unknown / hold: resolve",IF(OR(COUNTIF(Summary!$C$4:$R$4,H160)&gt;0,AND(A160="Philly",COUNTIF(Summary!$C$5:$R$5,H160)&gt;0),AND(A160="TUR",COUNTIF(Summary!$C$6:$R$6,H160)&gt;0),AND(A160="Leading Edge",COUNTIF(Summary!$C$7:$R$7,H160)&gt;0)),"Fee amount - presumed company revenue",IF(H160&lt;=Summary!$B$8,"Small amount - likely fee, review","Larger amount - likely includes agent commission")))</f>
        <v>Larger amount - likely includes agent commission</v>
      </c>
      <c r="O160" s="12" t="n">
        <f aca="false">IFERROR(INDEX('State Rules'!$C$5:$C$11,MATCH($B160,'State Rules'!$A$5:$A$11,0)),"")</f>
        <v>1</v>
      </c>
      <c r="P160" s="22" t="n">
        <f aca="false">IF(OR(O160="",E160=""),"",EDATE(E160,12*O160))</f>
        <v>45976</v>
      </c>
      <c r="Q160" s="22" t="n">
        <f aca="false">IF(E160="","",IFERROR(EDATE(E160,12*INDEX('State Rules'!$E$5:$E$11,MATCH($B160,'State Rules'!$A$5:$A$11,0))),""))</f>
        <v>46706</v>
      </c>
      <c r="R160" s="11" t="str">
        <f aca="false">IF(P160="","",IFERROR(IF(P160&lt;=INDEX('State Rules'!$I$5:$I$11,MATCH($B160,'State Rules'!$A$5:$A$11,0)),"Yes","No"),""))</f>
        <v>Yes</v>
      </c>
      <c r="S160" s="11" t="str">
        <f aca="false">IF(Q160="","",IFERROR(IF(Q160&lt;=INDEX('State Rules'!$I$5:$I$11,MATCH($B160,'State Rules'!$A$5:$A$11,0)),"Yes","No"),""))</f>
        <v>No</v>
      </c>
      <c r="T160" s="8"/>
      <c r="U160" s="8"/>
      <c r="V160" s="24"/>
      <c r="W160" s="24"/>
      <c r="X160" s="24"/>
      <c r="Y160" s="8"/>
      <c r="Z160" s="10" t="n">
        <f aca="false">IF(Q160="","",IF(Q160&lt;=$B$4,N(W160)+N(X160),0))</f>
        <v>0</v>
      </c>
      <c r="AA160" s="10" t="n">
        <f aca="false">IF(OR(LEFT(N160,6)="Larger",LEFT(N160,4)="Memo"),H160,0)</f>
        <v>270</v>
      </c>
      <c r="AB160" s="12" t="str">
        <f aca="false">IFERROR(INDEX('State Rules'!$M$5:$M$11,MATCH($B160,'State Rules'!$A$5:$A$11,0)),"")</f>
        <v>LONG</v>
      </c>
      <c r="AC160" s="22" t="n">
        <f aca="false">IF(AB160="SHORT",P160,IF(AB160="LONG",Q160,""))</f>
        <v>46706</v>
      </c>
      <c r="AD160" s="11" t="str">
        <f aca="false">IF(AB160="SHORT",R160,IF(AB160="LONG",S160,""))</f>
        <v>No</v>
      </c>
    </row>
    <row r="161" customFormat="false" ht="15" hidden="false" customHeight="false" outlineLevel="0" collapsed="false">
      <c r="A161" s="11" t="s">
        <v>47</v>
      </c>
      <c r="B161" s="12" t="str">
        <f aca="false">IF(U161&lt;&gt;"",U161,IFERROR(INDEX(Summary!$B$11:$B$18,MATCH($A161,Summary!$A$11:$A$18,0)),""))</f>
        <v>TX</v>
      </c>
      <c r="C161" s="11" t="s">
        <v>47</v>
      </c>
      <c r="D161" s="11" t="n">
        <v>36</v>
      </c>
      <c r="E161" s="22" t="n">
        <v>45630</v>
      </c>
      <c r="F161" s="11" t="s">
        <v>412</v>
      </c>
      <c r="G161" s="11"/>
      <c r="H161" s="10" t="n">
        <v>2936.25</v>
      </c>
      <c r="I161" s="11" t="s">
        <v>413</v>
      </c>
      <c r="J161" s="11" t="s">
        <v>101</v>
      </c>
      <c r="K161" s="23" t="n">
        <f aca="false">IF(E161="","",($B$4-E161)/365.25)</f>
        <v>1.83709787816564</v>
      </c>
      <c r="L161" s="11" t="str">
        <f aca="false">IF(K161="","no date",IF(K161&lt;1,"0-1 yrs",IF(K161&lt;2,"1-2 yrs",IF(K161&lt;3,"2-3 yrs",IF(K161&lt;5,"3-5 yrs","5+ yrs")))))</f>
        <v>1-2 yrs</v>
      </c>
      <c r="M161" s="11" t="s">
        <v>101</v>
      </c>
      <c r="N161" s="12" t="str">
        <f aca="false">IF(M161="Yes","Memo flag - not ours / unknown / hold: resolve",IF(OR(COUNTIF(Summary!$C$4:$R$4,H161)&gt;0,AND(A161="Philly",COUNTIF(Summary!$C$5:$R$5,H161)&gt;0),AND(A161="TUR",COUNTIF(Summary!$C$6:$R$6,H161)&gt;0),AND(A161="Leading Edge",COUNTIF(Summary!$C$7:$R$7,H161)&gt;0)),"Fee amount - presumed company revenue",IF(H161&lt;=Summary!$B$8,"Small amount - likely fee, review","Larger amount - likely includes agent commission")))</f>
        <v>Larger amount - likely includes agent commission</v>
      </c>
      <c r="O161" s="12" t="n">
        <f aca="false">IFERROR(INDEX('State Rules'!$C$5:$C$11,MATCH($B161,'State Rules'!$A$5:$A$11,0)),"")</f>
        <v>1</v>
      </c>
      <c r="P161" s="22" t="n">
        <f aca="false">IF(OR(O161="",E161=""),"",EDATE(E161,12*O161))</f>
        <v>45995</v>
      </c>
      <c r="Q161" s="22" t="n">
        <f aca="false">IF(E161="","",IFERROR(EDATE(E161,12*INDEX('State Rules'!$E$5:$E$11,MATCH($B161,'State Rules'!$A$5:$A$11,0))),""))</f>
        <v>46725</v>
      </c>
      <c r="R161" s="11" t="str">
        <f aca="false">IF(P161="","",IFERROR(IF(P161&lt;=INDEX('State Rules'!$I$5:$I$11,MATCH($B161,'State Rules'!$A$5:$A$11,0)),"Yes","No"),""))</f>
        <v>Yes</v>
      </c>
      <c r="S161" s="11" t="str">
        <f aca="false">IF(Q161="","",IFERROR(IF(Q161&lt;=INDEX('State Rules'!$I$5:$I$11,MATCH($B161,'State Rules'!$A$5:$A$11,0)),"Yes","No"),""))</f>
        <v>No</v>
      </c>
      <c r="T161" s="8"/>
      <c r="U161" s="8"/>
      <c r="V161" s="24"/>
      <c r="W161" s="24"/>
      <c r="X161" s="24"/>
      <c r="Y161" s="8"/>
      <c r="Z161" s="10" t="n">
        <f aca="false">IF(Q161="","",IF(Q161&lt;=$B$4,N(W161)+N(X161),0))</f>
        <v>0</v>
      </c>
      <c r="AA161" s="10" t="n">
        <f aca="false">IF(OR(LEFT(N161,6)="Larger",LEFT(N161,4)="Memo"),H161,0)</f>
        <v>2936.25</v>
      </c>
      <c r="AB161" s="12" t="str">
        <f aca="false">IFERROR(INDEX('State Rules'!$M$5:$M$11,MATCH($B161,'State Rules'!$A$5:$A$11,0)),"")</f>
        <v>LONG</v>
      </c>
      <c r="AC161" s="22" t="n">
        <f aca="false">IF(AB161="SHORT",P161,IF(AB161="LONG",Q161,""))</f>
        <v>46725</v>
      </c>
      <c r="AD161" s="11" t="str">
        <f aca="false">IF(AB161="SHORT",R161,IF(AB161="LONG",S161,""))</f>
        <v>No</v>
      </c>
    </row>
    <row r="162" customFormat="false" ht="15" hidden="false" customHeight="false" outlineLevel="0" collapsed="false">
      <c r="A162" s="11" t="s">
        <v>47</v>
      </c>
      <c r="B162" s="12" t="str">
        <f aca="false">IF(U162&lt;&gt;"",U162,IFERROR(INDEX(Summary!$B$11:$B$18,MATCH($A162,Summary!$A$11:$A$18,0)),""))</f>
        <v>TX</v>
      </c>
      <c r="C162" s="11" t="s">
        <v>47</v>
      </c>
      <c r="D162" s="11" t="n">
        <v>37</v>
      </c>
      <c r="E162" s="22" t="n">
        <v>45630</v>
      </c>
      <c r="F162" s="11" t="s">
        <v>414</v>
      </c>
      <c r="G162" s="11"/>
      <c r="H162" s="10" t="n">
        <v>400</v>
      </c>
      <c r="I162" s="11" t="s">
        <v>413</v>
      </c>
      <c r="J162" s="11" t="s">
        <v>101</v>
      </c>
      <c r="K162" s="23" t="n">
        <f aca="false">IF(E162="","",($B$4-E162)/365.25)</f>
        <v>1.83709787816564</v>
      </c>
      <c r="L162" s="11" t="str">
        <f aca="false">IF(K162="","no date",IF(K162&lt;1,"0-1 yrs",IF(K162&lt;2,"1-2 yrs",IF(K162&lt;3,"2-3 yrs",IF(K162&lt;5,"3-5 yrs","5+ yrs")))))</f>
        <v>1-2 yrs</v>
      </c>
      <c r="M162" s="11" t="s">
        <v>101</v>
      </c>
      <c r="N162" s="12" t="str">
        <f aca="false">IF(M162="Yes","Memo flag - not ours / unknown / hold: resolve",IF(OR(COUNTIF(Summary!$C$4:$R$4,H162)&gt;0,AND(A162="Philly",COUNTIF(Summary!$C$5:$R$5,H162)&gt;0),AND(A162="TUR",COUNTIF(Summary!$C$6:$R$6,H162)&gt;0),AND(A162="Leading Edge",COUNTIF(Summary!$C$7:$R$7,H162)&gt;0)),"Fee amount - presumed company revenue",IF(H162&lt;=Summary!$B$8,"Small amount - likely fee, review","Larger amount - likely includes agent commission")))</f>
        <v>Larger amount - likely includes agent commission</v>
      </c>
      <c r="O162" s="12" t="n">
        <f aca="false">IFERROR(INDEX('State Rules'!$C$5:$C$11,MATCH($B162,'State Rules'!$A$5:$A$11,0)),"")</f>
        <v>1</v>
      </c>
      <c r="P162" s="22" t="n">
        <f aca="false">IF(OR(O162="",E162=""),"",EDATE(E162,12*O162))</f>
        <v>45995</v>
      </c>
      <c r="Q162" s="22" t="n">
        <f aca="false">IF(E162="","",IFERROR(EDATE(E162,12*INDEX('State Rules'!$E$5:$E$11,MATCH($B162,'State Rules'!$A$5:$A$11,0))),""))</f>
        <v>46725</v>
      </c>
      <c r="R162" s="11" t="str">
        <f aca="false">IF(P162="","",IFERROR(IF(P162&lt;=INDEX('State Rules'!$I$5:$I$11,MATCH($B162,'State Rules'!$A$5:$A$11,0)),"Yes","No"),""))</f>
        <v>Yes</v>
      </c>
      <c r="S162" s="11" t="str">
        <f aca="false">IF(Q162="","",IFERROR(IF(Q162&lt;=INDEX('State Rules'!$I$5:$I$11,MATCH($B162,'State Rules'!$A$5:$A$11,0)),"Yes","No"),""))</f>
        <v>No</v>
      </c>
      <c r="T162" s="8"/>
      <c r="U162" s="8"/>
      <c r="V162" s="24"/>
      <c r="W162" s="24"/>
      <c r="X162" s="24"/>
      <c r="Y162" s="8"/>
      <c r="Z162" s="10" t="n">
        <f aca="false">IF(Q162="","",IF(Q162&lt;=$B$4,N(W162)+N(X162),0))</f>
        <v>0</v>
      </c>
      <c r="AA162" s="10" t="n">
        <f aca="false">IF(OR(LEFT(N162,6)="Larger",LEFT(N162,4)="Memo"),H162,0)</f>
        <v>400</v>
      </c>
      <c r="AB162" s="12" t="str">
        <f aca="false">IFERROR(INDEX('State Rules'!$M$5:$M$11,MATCH($B162,'State Rules'!$A$5:$A$11,0)),"")</f>
        <v>LONG</v>
      </c>
      <c r="AC162" s="22" t="n">
        <f aca="false">IF(AB162="SHORT",P162,IF(AB162="LONG",Q162,""))</f>
        <v>46725</v>
      </c>
      <c r="AD162" s="11" t="str">
        <f aca="false">IF(AB162="SHORT",R162,IF(AB162="LONG",S162,""))</f>
        <v>No</v>
      </c>
    </row>
    <row r="163" customFormat="false" ht="15" hidden="false" customHeight="false" outlineLevel="0" collapsed="false">
      <c r="A163" s="11" t="s">
        <v>47</v>
      </c>
      <c r="B163" s="12" t="str">
        <f aca="false">IF(U163&lt;&gt;"",U163,IFERROR(INDEX(Summary!$B$11:$B$18,MATCH($A163,Summary!$A$11:$A$18,0)),""))</f>
        <v>TX</v>
      </c>
      <c r="C163" s="11" t="s">
        <v>47</v>
      </c>
      <c r="D163" s="11" t="n">
        <v>38</v>
      </c>
      <c r="E163" s="22" t="n">
        <v>45630</v>
      </c>
      <c r="F163" s="11" t="s">
        <v>415</v>
      </c>
      <c r="G163" s="11"/>
      <c r="H163" s="10" t="n">
        <v>595</v>
      </c>
      <c r="I163" s="11" t="s">
        <v>413</v>
      </c>
      <c r="J163" s="11" t="s">
        <v>101</v>
      </c>
      <c r="K163" s="23" t="n">
        <f aca="false">IF(E163="","",($B$4-E163)/365.25)</f>
        <v>1.83709787816564</v>
      </c>
      <c r="L163" s="11" t="str">
        <f aca="false">IF(K163="","no date",IF(K163&lt;1,"0-1 yrs",IF(K163&lt;2,"1-2 yrs",IF(K163&lt;3,"2-3 yrs",IF(K163&lt;5,"3-5 yrs","5+ yrs")))))</f>
        <v>1-2 yrs</v>
      </c>
      <c r="M163" s="11" t="s">
        <v>101</v>
      </c>
      <c r="N163" s="12" t="str">
        <f aca="false">IF(M163="Yes","Memo flag - not ours / unknown / hold: resolve",IF(OR(COUNTIF(Summary!$C$4:$R$4,H163)&gt;0,AND(A163="Philly",COUNTIF(Summary!$C$5:$R$5,H163)&gt;0),AND(A163="TUR",COUNTIF(Summary!$C$6:$R$6,H163)&gt;0),AND(A163="Leading Edge",COUNTIF(Summary!$C$7:$R$7,H163)&gt;0)),"Fee amount - presumed company revenue",IF(H163&lt;=Summary!$B$8,"Small amount - likely fee, review","Larger amount - likely includes agent commission")))</f>
        <v>Fee amount - presumed company revenue</v>
      </c>
      <c r="O163" s="12" t="n">
        <f aca="false">IFERROR(INDEX('State Rules'!$C$5:$C$11,MATCH($B163,'State Rules'!$A$5:$A$11,0)),"")</f>
        <v>1</v>
      </c>
      <c r="P163" s="22" t="n">
        <f aca="false">IF(OR(O163="",E163=""),"",EDATE(E163,12*O163))</f>
        <v>45995</v>
      </c>
      <c r="Q163" s="22" t="n">
        <f aca="false">IF(E163="","",IFERROR(EDATE(E163,12*INDEX('State Rules'!$E$5:$E$11,MATCH($B163,'State Rules'!$A$5:$A$11,0))),""))</f>
        <v>46725</v>
      </c>
      <c r="R163" s="11" t="str">
        <f aca="false">IF(P163="","",IFERROR(IF(P163&lt;=INDEX('State Rules'!$I$5:$I$11,MATCH($B163,'State Rules'!$A$5:$A$11,0)),"Yes","No"),""))</f>
        <v>Yes</v>
      </c>
      <c r="S163" s="11" t="str">
        <f aca="false">IF(Q163="","",IFERROR(IF(Q163&lt;=INDEX('State Rules'!$I$5:$I$11,MATCH($B163,'State Rules'!$A$5:$A$11,0)),"Yes","No"),""))</f>
        <v>No</v>
      </c>
      <c r="T163" s="8"/>
      <c r="U163" s="8"/>
      <c r="V163" s="24"/>
      <c r="W163" s="24"/>
      <c r="X163" s="24"/>
      <c r="Y163" s="8"/>
      <c r="Z163" s="10" t="n">
        <f aca="false">IF(Q163="","",IF(Q163&lt;=$B$4,N(W163)+N(X163),0))</f>
        <v>0</v>
      </c>
      <c r="AA163" s="10" t="n">
        <f aca="false">IF(OR(LEFT(N163,6)="Larger",LEFT(N163,4)="Memo"),H163,0)</f>
        <v>0</v>
      </c>
      <c r="AB163" s="12" t="str">
        <f aca="false">IFERROR(INDEX('State Rules'!$M$5:$M$11,MATCH($B163,'State Rules'!$A$5:$A$11,0)),"")</f>
        <v>LONG</v>
      </c>
      <c r="AC163" s="22" t="n">
        <f aca="false">IF(AB163="SHORT",P163,IF(AB163="LONG",Q163,""))</f>
        <v>46725</v>
      </c>
      <c r="AD163" s="11" t="str">
        <f aca="false">IF(AB163="SHORT",R163,IF(AB163="LONG",S163,""))</f>
        <v>No</v>
      </c>
    </row>
    <row r="164" customFormat="false" ht="15" hidden="false" customHeight="false" outlineLevel="0" collapsed="false">
      <c r="A164" s="11" t="s">
        <v>47</v>
      </c>
      <c r="B164" s="12" t="str">
        <f aca="false">IF(U164&lt;&gt;"",U164,IFERROR(INDEX(Summary!$B$11:$B$18,MATCH($A164,Summary!$A$11:$A$18,0)),""))</f>
        <v>TX</v>
      </c>
      <c r="C164" s="11" t="s">
        <v>47</v>
      </c>
      <c r="D164" s="11" t="n">
        <v>39</v>
      </c>
      <c r="E164" s="22" t="n">
        <v>45688</v>
      </c>
      <c r="F164" s="11" t="s">
        <v>416</v>
      </c>
      <c r="G164" s="11"/>
      <c r="H164" s="10" t="n">
        <v>2500</v>
      </c>
      <c r="I164" s="11"/>
      <c r="J164" s="11" t="s">
        <v>101</v>
      </c>
      <c r="K164" s="23" t="n">
        <f aca="false">IF(E164="","",($B$4-E164)/365.25)</f>
        <v>1.67830253251198</v>
      </c>
      <c r="L164" s="11" t="str">
        <f aca="false">IF(K164="","no date",IF(K164&lt;1,"0-1 yrs",IF(K164&lt;2,"1-2 yrs",IF(K164&lt;3,"2-3 yrs",IF(K164&lt;5,"3-5 yrs","5+ yrs")))))</f>
        <v>1-2 yrs</v>
      </c>
      <c r="M164" s="11" t="s">
        <v>101</v>
      </c>
      <c r="N164" s="12" t="str">
        <f aca="false">IF(M164="Yes","Memo flag - not ours / unknown / hold: resolve",IF(OR(COUNTIF(Summary!$C$4:$R$4,H164)&gt;0,AND(A164="Philly",COUNTIF(Summary!$C$5:$R$5,H164)&gt;0),AND(A164="TUR",COUNTIF(Summary!$C$6:$R$6,H164)&gt;0),AND(A164="Leading Edge",COUNTIF(Summary!$C$7:$R$7,H164)&gt;0)),"Fee amount - presumed company revenue",IF(H164&lt;=Summary!$B$8,"Small amount - likely fee, review","Larger amount - likely includes agent commission")))</f>
        <v>Larger amount - likely includes agent commission</v>
      </c>
      <c r="O164" s="12" t="n">
        <f aca="false">IFERROR(INDEX('State Rules'!$C$5:$C$11,MATCH($B164,'State Rules'!$A$5:$A$11,0)),"")</f>
        <v>1</v>
      </c>
      <c r="P164" s="22" t="n">
        <f aca="false">IF(OR(O164="",E164=""),"",EDATE(E164,12*O164))</f>
        <v>46053</v>
      </c>
      <c r="Q164" s="22" t="n">
        <f aca="false">IF(E164="","",IFERROR(EDATE(E164,12*INDEX('State Rules'!$E$5:$E$11,MATCH($B164,'State Rules'!$A$5:$A$11,0))),""))</f>
        <v>46783</v>
      </c>
      <c r="R164" s="11" t="str">
        <f aca="false">IF(P164="","",IFERROR(IF(P164&lt;=INDEX('State Rules'!$I$5:$I$11,MATCH($B164,'State Rules'!$A$5:$A$11,0)),"Yes","No"),""))</f>
        <v>Yes</v>
      </c>
      <c r="S164" s="11" t="str">
        <f aca="false">IF(Q164="","",IFERROR(IF(Q164&lt;=INDEX('State Rules'!$I$5:$I$11,MATCH($B164,'State Rules'!$A$5:$A$11,0)),"Yes","No"),""))</f>
        <v>No</v>
      </c>
      <c r="T164" s="8"/>
      <c r="U164" s="8"/>
      <c r="V164" s="24"/>
      <c r="W164" s="24"/>
      <c r="X164" s="24"/>
      <c r="Y164" s="8"/>
      <c r="Z164" s="10" t="n">
        <f aca="false">IF(Q164="","",IF(Q164&lt;=$B$4,N(W164)+N(X164),0))</f>
        <v>0</v>
      </c>
      <c r="AA164" s="10" t="n">
        <f aca="false">IF(OR(LEFT(N164,6)="Larger",LEFT(N164,4)="Memo"),H164,0)</f>
        <v>2500</v>
      </c>
      <c r="AB164" s="12" t="str">
        <f aca="false">IFERROR(INDEX('State Rules'!$M$5:$M$11,MATCH($B164,'State Rules'!$A$5:$A$11,0)),"")</f>
        <v>LONG</v>
      </c>
      <c r="AC164" s="22" t="n">
        <f aca="false">IF(AB164="SHORT",P164,IF(AB164="LONG",Q164,""))</f>
        <v>46783</v>
      </c>
      <c r="AD164" s="11" t="str">
        <f aca="false">IF(AB164="SHORT",R164,IF(AB164="LONG",S164,""))</f>
        <v>No</v>
      </c>
    </row>
    <row r="165" customFormat="false" ht="15" hidden="false" customHeight="false" outlineLevel="0" collapsed="false">
      <c r="A165" s="11" t="s">
        <v>47</v>
      </c>
      <c r="B165" s="12" t="str">
        <f aca="false">IF(U165&lt;&gt;"",U165,IFERROR(INDEX(Summary!$B$11:$B$18,MATCH($A165,Summary!$A$11:$A$18,0)),""))</f>
        <v>TX</v>
      </c>
      <c r="C165" s="11" t="s">
        <v>47</v>
      </c>
      <c r="D165" s="11" t="n">
        <v>40</v>
      </c>
      <c r="E165" s="22" t="n">
        <v>45698</v>
      </c>
      <c r="F165" s="11" t="s">
        <v>417</v>
      </c>
      <c r="G165" s="11"/>
      <c r="H165" s="10" t="n">
        <v>595</v>
      </c>
      <c r="I165" s="11" t="s">
        <v>418</v>
      </c>
      <c r="J165" s="11" t="s">
        <v>101</v>
      </c>
      <c r="K165" s="23" t="n">
        <f aca="false">IF(E165="","",($B$4-E165)/365.25)</f>
        <v>1.65092402464066</v>
      </c>
      <c r="L165" s="11" t="str">
        <f aca="false">IF(K165="","no date",IF(K165&lt;1,"0-1 yrs",IF(K165&lt;2,"1-2 yrs",IF(K165&lt;3,"2-3 yrs",IF(K165&lt;5,"3-5 yrs","5+ yrs")))))</f>
        <v>1-2 yrs</v>
      </c>
      <c r="M165" s="11" t="s">
        <v>101</v>
      </c>
      <c r="N165" s="12" t="str">
        <f aca="false">IF(M165="Yes","Memo flag - not ours / unknown / hold: resolve",IF(OR(COUNTIF(Summary!$C$4:$R$4,H165)&gt;0,AND(A165="Philly",COUNTIF(Summary!$C$5:$R$5,H165)&gt;0),AND(A165="TUR",COUNTIF(Summary!$C$6:$R$6,H165)&gt;0),AND(A165="Leading Edge",COUNTIF(Summary!$C$7:$R$7,H165)&gt;0)),"Fee amount - presumed company revenue",IF(H165&lt;=Summary!$B$8,"Small amount - likely fee, review","Larger amount - likely includes agent commission")))</f>
        <v>Fee amount - presumed company revenue</v>
      </c>
      <c r="O165" s="12" t="n">
        <f aca="false">IFERROR(INDEX('State Rules'!$C$5:$C$11,MATCH($B165,'State Rules'!$A$5:$A$11,0)),"")</f>
        <v>1</v>
      </c>
      <c r="P165" s="22" t="n">
        <f aca="false">IF(OR(O165="",E165=""),"",EDATE(E165,12*O165))</f>
        <v>46063</v>
      </c>
      <c r="Q165" s="22" t="n">
        <f aca="false">IF(E165="","",IFERROR(EDATE(E165,12*INDEX('State Rules'!$E$5:$E$11,MATCH($B165,'State Rules'!$A$5:$A$11,0))),""))</f>
        <v>46793</v>
      </c>
      <c r="R165" s="11" t="str">
        <f aca="false">IF(P165="","",IFERROR(IF(P165&lt;=INDEX('State Rules'!$I$5:$I$11,MATCH($B165,'State Rules'!$A$5:$A$11,0)),"Yes","No"),""))</f>
        <v>Yes</v>
      </c>
      <c r="S165" s="11" t="str">
        <f aca="false">IF(Q165="","",IFERROR(IF(Q165&lt;=INDEX('State Rules'!$I$5:$I$11,MATCH($B165,'State Rules'!$A$5:$A$11,0)),"Yes","No"),""))</f>
        <v>No</v>
      </c>
      <c r="T165" s="8"/>
      <c r="U165" s="8"/>
      <c r="V165" s="24"/>
      <c r="W165" s="24"/>
      <c r="X165" s="24"/>
      <c r="Y165" s="8"/>
      <c r="Z165" s="10" t="n">
        <f aca="false">IF(Q165="","",IF(Q165&lt;=$B$4,N(W165)+N(X165),0))</f>
        <v>0</v>
      </c>
      <c r="AA165" s="10" t="n">
        <f aca="false">IF(OR(LEFT(N165,6)="Larger",LEFT(N165,4)="Memo"),H165,0)</f>
        <v>0</v>
      </c>
      <c r="AB165" s="12" t="str">
        <f aca="false">IFERROR(INDEX('State Rules'!$M$5:$M$11,MATCH($B165,'State Rules'!$A$5:$A$11,0)),"")</f>
        <v>LONG</v>
      </c>
      <c r="AC165" s="22" t="n">
        <f aca="false">IF(AB165="SHORT",P165,IF(AB165="LONG",Q165,""))</f>
        <v>46793</v>
      </c>
      <c r="AD165" s="11" t="str">
        <f aca="false">IF(AB165="SHORT",R165,IF(AB165="LONG",S165,""))</f>
        <v>No</v>
      </c>
    </row>
    <row r="166" customFormat="false" ht="15" hidden="false" customHeight="false" outlineLevel="0" collapsed="false">
      <c r="A166" s="11" t="s">
        <v>47</v>
      </c>
      <c r="B166" s="12" t="str">
        <f aca="false">IF(U166&lt;&gt;"",U166,IFERROR(INDEX(Summary!$B$11:$B$18,MATCH($A166,Summary!$A$11:$A$18,0)),""))</f>
        <v>TX</v>
      </c>
      <c r="C166" s="11" t="s">
        <v>47</v>
      </c>
      <c r="D166" s="11" t="n">
        <v>41</v>
      </c>
      <c r="E166" s="22" t="n">
        <v>45715</v>
      </c>
      <c r="F166" s="11" t="s">
        <v>419</v>
      </c>
      <c r="G166" s="11"/>
      <c r="H166" s="10" t="n">
        <v>295</v>
      </c>
      <c r="I166" s="11" t="s">
        <v>420</v>
      </c>
      <c r="J166" s="11" t="s">
        <v>101</v>
      </c>
      <c r="K166" s="23" t="n">
        <f aca="false">IF(E166="","",($B$4-E166)/365.25)</f>
        <v>1.60438056125941</v>
      </c>
      <c r="L166" s="11" t="str">
        <f aca="false">IF(K166="","no date",IF(K166&lt;1,"0-1 yrs",IF(K166&lt;2,"1-2 yrs",IF(K166&lt;3,"2-3 yrs",IF(K166&lt;5,"3-5 yrs","5+ yrs")))))</f>
        <v>1-2 yrs</v>
      </c>
      <c r="M166" s="11" t="s">
        <v>101</v>
      </c>
      <c r="N166" s="12" t="str">
        <f aca="false">IF(M166="Yes","Memo flag - not ours / unknown / hold: resolve",IF(OR(COUNTIF(Summary!$C$4:$R$4,H166)&gt;0,AND(A166="Philly",COUNTIF(Summary!$C$5:$R$5,H166)&gt;0),AND(A166="TUR",COUNTIF(Summary!$C$6:$R$6,H166)&gt;0),AND(A166="Leading Edge",COUNTIF(Summary!$C$7:$R$7,H166)&gt;0)),"Fee amount - presumed company revenue",IF(H166&lt;=Summary!$B$8,"Small amount - likely fee, review","Larger amount - likely includes agent commission")))</f>
        <v>Fee amount - presumed company revenue</v>
      </c>
      <c r="O166" s="12" t="n">
        <f aca="false">IFERROR(INDEX('State Rules'!$C$5:$C$11,MATCH($B166,'State Rules'!$A$5:$A$11,0)),"")</f>
        <v>1</v>
      </c>
      <c r="P166" s="22" t="n">
        <f aca="false">IF(OR(O166="",E166=""),"",EDATE(E166,12*O166))</f>
        <v>46080</v>
      </c>
      <c r="Q166" s="22" t="n">
        <f aca="false">IF(E166="","",IFERROR(EDATE(E166,12*INDEX('State Rules'!$E$5:$E$11,MATCH($B166,'State Rules'!$A$5:$A$11,0))),""))</f>
        <v>46810</v>
      </c>
      <c r="R166" s="11" t="str">
        <f aca="false">IF(P166="","",IFERROR(IF(P166&lt;=INDEX('State Rules'!$I$5:$I$11,MATCH($B166,'State Rules'!$A$5:$A$11,0)),"Yes","No"),""))</f>
        <v>Yes</v>
      </c>
      <c r="S166" s="11" t="str">
        <f aca="false">IF(Q166="","",IFERROR(IF(Q166&lt;=INDEX('State Rules'!$I$5:$I$11,MATCH($B166,'State Rules'!$A$5:$A$11,0)),"Yes","No"),""))</f>
        <v>No</v>
      </c>
      <c r="T166" s="8"/>
      <c r="U166" s="8"/>
      <c r="V166" s="24"/>
      <c r="W166" s="24"/>
      <c r="X166" s="24"/>
      <c r="Y166" s="8"/>
      <c r="Z166" s="10" t="n">
        <f aca="false">IF(Q166="","",IF(Q166&lt;=$B$4,N(W166)+N(X166),0))</f>
        <v>0</v>
      </c>
      <c r="AA166" s="10" t="n">
        <f aca="false">IF(OR(LEFT(N166,6)="Larger",LEFT(N166,4)="Memo"),H166,0)</f>
        <v>0</v>
      </c>
      <c r="AB166" s="12" t="str">
        <f aca="false">IFERROR(INDEX('State Rules'!$M$5:$M$11,MATCH($B166,'State Rules'!$A$5:$A$11,0)),"")</f>
        <v>LONG</v>
      </c>
      <c r="AC166" s="22" t="n">
        <f aca="false">IF(AB166="SHORT",P166,IF(AB166="LONG",Q166,""))</f>
        <v>46810</v>
      </c>
      <c r="AD166" s="11" t="str">
        <f aca="false">IF(AB166="SHORT",R166,IF(AB166="LONG",S166,""))</f>
        <v>No</v>
      </c>
    </row>
    <row r="167" customFormat="false" ht="15" hidden="false" customHeight="false" outlineLevel="0" collapsed="false">
      <c r="A167" s="11" t="s">
        <v>47</v>
      </c>
      <c r="B167" s="12" t="str">
        <f aca="false">IF(U167&lt;&gt;"",U167,IFERROR(INDEX(Summary!$B$11:$B$18,MATCH($A167,Summary!$A$11:$A$18,0)),""))</f>
        <v>TX</v>
      </c>
      <c r="C167" s="11" t="s">
        <v>47</v>
      </c>
      <c r="D167" s="11" t="n">
        <v>42</v>
      </c>
      <c r="E167" s="22" t="n">
        <v>45848</v>
      </c>
      <c r="F167" s="11" t="s">
        <v>421</v>
      </c>
      <c r="G167" s="11"/>
      <c r="H167" s="10" t="n">
        <v>100</v>
      </c>
      <c r="I167" s="11" t="s">
        <v>422</v>
      </c>
      <c r="J167" s="11" t="s">
        <v>101</v>
      </c>
      <c r="K167" s="23" t="n">
        <f aca="false">IF(E167="","",($B$4-E167)/365.25)</f>
        <v>1.24024640657084</v>
      </c>
      <c r="L167" s="11" t="str">
        <f aca="false">IF(K167="","no date",IF(K167&lt;1,"0-1 yrs",IF(K167&lt;2,"1-2 yrs",IF(K167&lt;3,"2-3 yrs",IF(K167&lt;5,"3-5 yrs","5+ yrs")))))</f>
        <v>1-2 yrs</v>
      </c>
      <c r="M167" s="11" t="s">
        <v>101</v>
      </c>
      <c r="N167" s="12" t="str">
        <f aca="false">IF(M167="Yes","Memo flag - not ours / unknown / hold: resolve",IF(OR(COUNTIF(Summary!$C$4:$R$4,H167)&gt;0,AND(A167="Philly",COUNTIF(Summary!$C$5:$R$5,H167)&gt;0),AND(A167="TUR",COUNTIF(Summary!$C$6:$R$6,H167)&gt;0),AND(A167="Leading Edge",COUNTIF(Summary!$C$7:$R$7,H167)&gt;0)),"Fee amount - presumed company revenue",IF(H167&lt;=Summary!$B$8,"Small amount - likely fee, review","Larger amount - likely includes agent commission")))</f>
        <v>Fee amount - presumed company revenue</v>
      </c>
      <c r="O167" s="12" t="n">
        <f aca="false">IFERROR(INDEX('State Rules'!$C$5:$C$11,MATCH($B167,'State Rules'!$A$5:$A$11,0)),"")</f>
        <v>1</v>
      </c>
      <c r="P167" s="22" t="n">
        <f aca="false">IF(OR(O167="",E167=""),"",EDATE(E167,12*O167))</f>
        <v>46213</v>
      </c>
      <c r="Q167" s="22" t="n">
        <f aca="false">IF(E167="","",IFERROR(EDATE(E167,12*INDEX('State Rules'!$E$5:$E$11,MATCH($B167,'State Rules'!$A$5:$A$11,0))),""))</f>
        <v>46944</v>
      </c>
      <c r="R167" s="11" t="str">
        <f aca="false">IF(P167="","",IFERROR(IF(P167&lt;=INDEX('State Rules'!$I$5:$I$11,MATCH($B167,'State Rules'!$A$5:$A$11,0)),"Yes","No"),""))</f>
        <v>Yes</v>
      </c>
      <c r="S167" s="11" t="str">
        <f aca="false">IF(Q167="","",IFERROR(IF(Q167&lt;=INDEX('State Rules'!$I$5:$I$11,MATCH($B167,'State Rules'!$A$5:$A$11,0)),"Yes","No"),""))</f>
        <v>No</v>
      </c>
      <c r="T167" s="8"/>
      <c r="U167" s="8"/>
      <c r="V167" s="24"/>
      <c r="W167" s="24"/>
      <c r="X167" s="24"/>
      <c r="Y167" s="8"/>
      <c r="Z167" s="10" t="n">
        <f aca="false">IF(Q167="","",IF(Q167&lt;=$B$4,N(W167)+N(X167),0))</f>
        <v>0</v>
      </c>
      <c r="AA167" s="10" t="n">
        <f aca="false">IF(OR(LEFT(N167,6)="Larger",LEFT(N167,4)="Memo"),H167,0)</f>
        <v>0</v>
      </c>
      <c r="AB167" s="12" t="str">
        <f aca="false">IFERROR(INDEX('State Rules'!$M$5:$M$11,MATCH($B167,'State Rules'!$A$5:$A$11,0)),"")</f>
        <v>LONG</v>
      </c>
      <c r="AC167" s="22" t="n">
        <f aca="false">IF(AB167="SHORT",P167,IF(AB167="LONG",Q167,""))</f>
        <v>46944</v>
      </c>
      <c r="AD167" s="11" t="str">
        <f aca="false">IF(AB167="SHORT",R167,IF(AB167="LONG",S167,""))</f>
        <v>No</v>
      </c>
    </row>
    <row r="168" customFormat="false" ht="15" hidden="false" customHeight="false" outlineLevel="0" collapsed="false">
      <c r="A168" s="11" t="s">
        <v>47</v>
      </c>
      <c r="B168" s="12" t="str">
        <f aca="false">IF(U168&lt;&gt;"",U168,IFERROR(INDEX(Summary!$B$11:$B$18,MATCH($A168,Summary!$A$11:$A$18,0)),""))</f>
        <v>TX</v>
      </c>
      <c r="C168" s="11" t="s">
        <v>47</v>
      </c>
      <c r="D168" s="11" t="n">
        <v>43</v>
      </c>
      <c r="E168" s="22" t="n">
        <v>45862</v>
      </c>
      <c r="F168" s="11" t="s">
        <v>423</v>
      </c>
      <c r="G168" s="11"/>
      <c r="H168" s="10" t="n">
        <v>49</v>
      </c>
      <c r="I168" s="11" t="s">
        <v>424</v>
      </c>
      <c r="J168" s="11" t="s">
        <v>101</v>
      </c>
      <c r="K168" s="23" t="n">
        <f aca="false">IF(E168="","",($B$4-E168)/365.25)</f>
        <v>1.20191649555099</v>
      </c>
      <c r="L168" s="11" t="str">
        <f aca="false">IF(K168="","no date",IF(K168&lt;1,"0-1 yrs",IF(K168&lt;2,"1-2 yrs",IF(K168&lt;3,"2-3 yrs",IF(K168&lt;5,"3-5 yrs","5+ yrs")))))</f>
        <v>1-2 yrs</v>
      </c>
      <c r="M168" s="11" t="s">
        <v>101</v>
      </c>
      <c r="N168" s="12" t="str">
        <f aca="false">IF(M168="Yes","Memo flag - not ours / unknown / hold: resolve",IF(OR(COUNTIF(Summary!$C$4:$R$4,H168)&gt;0,AND(A168="Philly",COUNTIF(Summary!$C$5:$R$5,H168)&gt;0),AND(A168="TUR",COUNTIF(Summary!$C$6:$R$6,H168)&gt;0),AND(A168="Leading Edge",COUNTIF(Summary!$C$7:$R$7,H168)&gt;0)),"Fee amount - presumed company revenue",IF(H168&lt;=Summary!$B$8,"Small amount - likely fee, review","Larger amount - likely includes agent commission")))</f>
        <v>Fee amount - presumed company revenue</v>
      </c>
      <c r="O168" s="12" t="n">
        <f aca="false">IFERROR(INDEX('State Rules'!$C$5:$C$11,MATCH($B168,'State Rules'!$A$5:$A$11,0)),"")</f>
        <v>1</v>
      </c>
      <c r="P168" s="22" t="n">
        <f aca="false">IF(OR(O168="",E168=""),"",EDATE(E168,12*O168))</f>
        <v>46227</v>
      </c>
      <c r="Q168" s="22" t="n">
        <f aca="false">IF(E168="","",IFERROR(EDATE(E168,12*INDEX('State Rules'!$E$5:$E$11,MATCH($B168,'State Rules'!$A$5:$A$11,0))),""))</f>
        <v>46958</v>
      </c>
      <c r="R168" s="11" t="str">
        <f aca="false">IF(P168="","",IFERROR(IF(P168&lt;=INDEX('State Rules'!$I$5:$I$11,MATCH($B168,'State Rules'!$A$5:$A$11,0)),"Yes","No"),""))</f>
        <v>Yes</v>
      </c>
      <c r="S168" s="11" t="str">
        <f aca="false">IF(Q168="","",IFERROR(IF(Q168&lt;=INDEX('State Rules'!$I$5:$I$11,MATCH($B168,'State Rules'!$A$5:$A$11,0)),"Yes","No"),""))</f>
        <v>No</v>
      </c>
      <c r="T168" s="8"/>
      <c r="U168" s="8"/>
      <c r="V168" s="24"/>
      <c r="W168" s="24"/>
      <c r="X168" s="24"/>
      <c r="Y168" s="8"/>
      <c r="Z168" s="10" t="n">
        <f aca="false">IF(Q168="","",IF(Q168&lt;=$B$4,N(W168)+N(X168),0))</f>
        <v>0</v>
      </c>
      <c r="AA168" s="10" t="n">
        <f aca="false">IF(OR(LEFT(N168,6)="Larger",LEFT(N168,4)="Memo"),H168,0)</f>
        <v>0</v>
      </c>
      <c r="AB168" s="12" t="str">
        <f aca="false">IFERROR(INDEX('State Rules'!$M$5:$M$11,MATCH($B168,'State Rules'!$A$5:$A$11,0)),"")</f>
        <v>LONG</v>
      </c>
      <c r="AC168" s="22" t="n">
        <f aca="false">IF(AB168="SHORT",P168,IF(AB168="LONG",Q168,""))</f>
        <v>46958</v>
      </c>
      <c r="AD168" s="11" t="str">
        <f aca="false">IF(AB168="SHORT",R168,IF(AB168="LONG",S168,""))</f>
        <v>No</v>
      </c>
    </row>
    <row r="169" customFormat="false" ht="15" hidden="false" customHeight="false" outlineLevel="0" collapsed="false">
      <c r="A169" s="11" t="s">
        <v>47</v>
      </c>
      <c r="B169" s="12" t="str">
        <f aca="false">IF(U169&lt;&gt;"",U169,IFERROR(INDEX(Summary!$B$11:$B$18,MATCH($A169,Summary!$A$11:$A$18,0)),""))</f>
        <v>TX</v>
      </c>
      <c r="C169" s="11" t="s">
        <v>47</v>
      </c>
      <c r="D169" s="11" t="n">
        <v>44</v>
      </c>
      <c r="E169" s="22" t="n">
        <v>45862</v>
      </c>
      <c r="F169" s="11" t="s">
        <v>425</v>
      </c>
      <c r="G169" s="11"/>
      <c r="H169" s="10" t="n">
        <v>451</v>
      </c>
      <c r="I169" s="11" t="s">
        <v>426</v>
      </c>
      <c r="J169" s="11" t="s">
        <v>101</v>
      </c>
      <c r="K169" s="23" t="n">
        <f aca="false">IF(E169="","",($B$4-E169)/365.25)</f>
        <v>1.20191649555099</v>
      </c>
      <c r="L169" s="11" t="str">
        <f aca="false">IF(K169="","no date",IF(K169&lt;1,"0-1 yrs",IF(K169&lt;2,"1-2 yrs",IF(K169&lt;3,"2-3 yrs",IF(K169&lt;5,"3-5 yrs","5+ yrs")))))</f>
        <v>1-2 yrs</v>
      </c>
      <c r="M169" s="11" t="s">
        <v>101</v>
      </c>
      <c r="N169" s="12" t="str">
        <f aca="false">IF(M169="Yes","Memo flag - not ours / unknown / hold: resolve",IF(OR(COUNTIF(Summary!$C$4:$R$4,H169)&gt;0,AND(A169="Philly",COUNTIF(Summary!$C$5:$R$5,H169)&gt;0),AND(A169="TUR",COUNTIF(Summary!$C$6:$R$6,H169)&gt;0),AND(A169="Leading Edge",COUNTIF(Summary!$C$7:$R$7,H169)&gt;0)),"Fee amount - presumed company revenue",IF(H169&lt;=Summary!$B$8,"Small amount - likely fee, review","Larger amount - likely includes agent commission")))</f>
        <v>Larger amount - likely includes agent commission</v>
      </c>
      <c r="O169" s="12" t="n">
        <f aca="false">IFERROR(INDEX('State Rules'!$C$5:$C$11,MATCH($B169,'State Rules'!$A$5:$A$11,0)),"")</f>
        <v>1</v>
      </c>
      <c r="P169" s="22" t="n">
        <f aca="false">IF(OR(O169="",E169=""),"",EDATE(E169,12*O169))</f>
        <v>46227</v>
      </c>
      <c r="Q169" s="22" t="n">
        <f aca="false">IF(E169="","",IFERROR(EDATE(E169,12*INDEX('State Rules'!$E$5:$E$11,MATCH($B169,'State Rules'!$A$5:$A$11,0))),""))</f>
        <v>46958</v>
      </c>
      <c r="R169" s="11" t="str">
        <f aca="false">IF(P169="","",IFERROR(IF(P169&lt;=INDEX('State Rules'!$I$5:$I$11,MATCH($B169,'State Rules'!$A$5:$A$11,0)),"Yes","No"),""))</f>
        <v>Yes</v>
      </c>
      <c r="S169" s="11" t="str">
        <f aca="false">IF(Q169="","",IFERROR(IF(Q169&lt;=INDEX('State Rules'!$I$5:$I$11,MATCH($B169,'State Rules'!$A$5:$A$11,0)),"Yes","No"),""))</f>
        <v>No</v>
      </c>
      <c r="T169" s="8"/>
      <c r="U169" s="8"/>
      <c r="V169" s="24"/>
      <c r="W169" s="24"/>
      <c r="X169" s="24"/>
      <c r="Y169" s="8"/>
      <c r="Z169" s="10" t="n">
        <f aca="false">IF(Q169="","",IF(Q169&lt;=$B$4,N(W169)+N(X169),0))</f>
        <v>0</v>
      </c>
      <c r="AA169" s="10" t="n">
        <f aca="false">IF(OR(LEFT(N169,6)="Larger",LEFT(N169,4)="Memo"),H169,0)</f>
        <v>451</v>
      </c>
      <c r="AB169" s="12" t="str">
        <f aca="false">IFERROR(INDEX('State Rules'!$M$5:$M$11,MATCH($B169,'State Rules'!$A$5:$A$11,0)),"")</f>
        <v>LONG</v>
      </c>
      <c r="AC169" s="22" t="n">
        <f aca="false">IF(AB169="SHORT",P169,IF(AB169="LONG",Q169,""))</f>
        <v>46958</v>
      </c>
      <c r="AD169" s="11" t="str">
        <f aca="false">IF(AB169="SHORT",R169,IF(AB169="LONG",S169,""))</f>
        <v>No</v>
      </c>
    </row>
    <row r="170" customFormat="false" ht="15" hidden="false" customHeight="false" outlineLevel="0" collapsed="false">
      <c r="A170" s="11" t="s">
        <v>47</v>
      </c>
      <c r="B170" s="12" t="str">
        <f aca="false">IF(U170&lt;&gt;"",U170,IFERROR(INDEX(Summary!$B$11:$B$18,MATCH($A170,Summary!$A$11:$A$18,0)),""))</f>
        <v>TX</v>
      </c>
      <c r="C170" s="11" t="s">
        <v>47</v>
      </c>
      <c r="D170" s="11" t="n">
        <v>45</v>
      </c>
      <c r="E170" s="22" t="n">
        <v>45873</v>
      </c>
      <c r="F170" s="11" t="s">
        <v>427</v>
      </c>
      <c r="G170" s="11"/>
      <c r="H170" s="10" t="n">
        <v>595</v>
      </c>
      <c r="I170" s="11" t="s">
        <v>428</v>
      </c>
      <c r="J170" s="11" t="s">
        <v>101</v>
      </c>
      <c r="K170" s="23" t="n">
        <f aca="false">IF(E170="","",($B$4-E170)/365.25)</f>
        <v>1.17180013689254</v>
      </c>
      <c r="L170" s="11" t="str">
        <f aca="false">IF(K170="","no date",IF(K170&lt;1,"0-1 yrs",IF(K170&lt;2,"1-2 yrs",IF(K170&lt;3,"2-3 yrs",IF(K170&lt;5,"3-5 yrs","5+ yrs")))))</f>
        <v>1-2 yrs</v>
      </c>
      <c r="M170" s="11" t="s">
        <v>101</v>
      </c>
      <c r="N170" s="12" t="str">
        <f aca="false">IF(M170="Yes","Memo flag - not ours / unknown / hold: resolve",IF(OR(COUNTIF(Summary!$C$4:$R$4,H170)&gt;0,AND(A170="Philly",COUNTIF(Summary!$C$5:$R$5,H170)&gt;0),AND(A170="TUR",COUNTIF(Summary!$C$6:$R$6,H170)&gt;0),AND(A170="Leading Edge",COUNTIF(Summary!$C$7:$R$7,H170)&gt;0)),"Fee amount - presumed company revenue",IF(H170&lt;=Summary!$B$8,"Small amount - likely fee, review","Larger amount - likely includes agent commission")))</f>
        <v>Fee amount - presumed company revenue</v>
      </c>
      <c r="O170" s="12" t="n">
        <f aca="false">IFERROR(INDEX('State Rules'!$C$5:$C$11,MATCH($B170,'State Rules'!$A$5:$A$11,0)),"")</f>
        <v>1</v>
      </c>
      <c r="P170" s="22" t="n">
        <f aca="false">IF(OR(O170="",E170=""),"",EDATE(E170,12*O170))</f>
        <v>46238</v>
      </c>
      <c r="Q170" s="22" t="n">
        <f aca="false">IF(E170="","",IFERROR(EDATE(E170,12*INDEX('State Rules'!$E$5:$E$11,MATCH($B170,'State Rules'!$A$5:$A$11,0))),""))</f>
        <v>46969</v>
      </c>
      <c r="R170" s="11" t="str">
        <f aca="false">IF(P170="","",IFERROR(IF(P170&lt;=INDEX('State Rules'!$I$5:$I$11,MATCH($B170,'State Rules'!$A$5:$A$11,0)),"Yes","No"),""))</f>
        <v>Yes</v>
      </c>
      <c r="S170" s="11" t="str">
        <f aca="false">IF(Q170="","",IFERROR(IF(Q170&lt;=INDEX('State Rules'!$I$5:$I$11,MATCH($B170,'State Rules'!$A$5:$A$11,0)),"Yes","No"),""))</f>
        <v>No</v>
      </c>
      <c r="T170" s="8"/>
      <c r="U170" s="8"/>
      <c r="V170" s="24"/>
      <c r="W170" s="24"/>
      <c r="X170" s="24"/>
      <c r="Y170" s="8"/>
      <c r="Z170" s="10" t="n">
        <f aca="false">IF(Q170="","",IF(Q170&lt;=$B$4,N(W170)+N(X170),0))</f>
        <v>0</v>
      </c>
      <c r="AA170" s="10" t="n">
        <f aca="false">IF(OR(LEFT(N170,6)="Larger",LEFT(N170,4)="Memo"),H170,0)</f>
        <v>0</v>
      </c>
      <c r="AB170" s="12" t="str">
        <f aca="false">IFERROR(INDEX('State Rules'!$M$5:$M$11,MATCH($B170,'State Rules'!$A$5:$A$11,0)),"")</f>
        <v>LONG</v>
      </c>
      <c r="AC170" s="22" t="n">
        <f aca="false">IF(AB170="SHORT",P170,IF(AB170="LONG",Q170,""))</f>
        <v>46969</v>
      </c>
      <c r="AD170" s="11" t="str">
        <f aca="false">IF(AB170="SHORT",R170,IF(AB170="LONG",S170,""))</f>
        <v>No</v>
      </c>
    </row>
    <row r="171" customFormat="false" ht="15" hidden="false" customHeight="false" outlineLevel="0" collapsed="false">
      <c r="A171" s="11" t="s">
        <v>47</v>
      </c>
      <c r="B171" s="12" t="str">
        <f aca="false">IF(U171&lt;&gt;"",U171,IFERROR(INDEX(Summary!$B$11:$B$18,MATCH($A171,Summary!$A$11:$A$18,0)),""))</f>
        <v>TX</v>
      </c>
      <c r="C171" s="11" t="s">
        <v>47</v>
      </c>
      <c r="D171" s="11" t="n">
        <v>46</v>
      </c>
      <c r="E171" s="22" t="n">
        <v>45888</v>
      </c>
      <c r="F171" s="11" t="s">
        <v>429</v>
      </c>
      <c r="G171" s="11"/>
      <c r="H171" s="10" t="n">
        <v>644</v>
      </c>
      <c r="I171" s="11" t="s">
        <v>430</v>
      </c>
      <c r="J171" s="11" t="s">
        <v>101</v>
      </c>
      <c r="K171" s="23" t="n">
        <f aca="false">IF(E171="","",($B$4-E171)/365.25)</f>
        <v>1.13073237508556</v>
      </c>
      <c r="L171" s="11" t="str">
        <f aca="false">IF(K171="","no date",IF(K171&lt;1,"0-1 yrs",IF(K171&lt;2,"1-2 yrs",IF(K171&lt;3,"2-3 yrs",IF(K171&lt;5,"3-5 yrs","5+ yrs")))))</f>
        <v>1-2 yrs</v>
      </c>
      <c r="M171" s="11" t="s">
        <v>101</v>
      </c>
      <c r="N171" s="12" t="str">
        <f aca="false">IF(M171="Yes","Memo flag - not ours / unknown / hold: resolve",IF(OR(COUNTIF(Summary!$C$4:$R$4,H171)&gt;0,AND(A171="Philly",COUNTIF(Summary!$C$5:$R$5,H171)&gt;0),AND(A171="TUR",COUNTIF(Summary!$C$6:$R$6,H171)&gt;0),AND(A171="Leading Edge",COUNTIF(Summary!$C$7:$R$7,H171)&gt;0)),"Fee amount - presumed company revenue",IF(H171&lt;=Summary!$B$8,"Small amount - likely fee, review","Larger amount - likely includes agent commission")))</f>
        <v>Fee amount - presumed company revenue</v>
      </c>
      <c r="O171" s="12" t="n">
        <f aca="false">IFERROR(INDEX('State Rules'!$C$5:$C$11,MATCH($B171,'State Rules'!$A$5:$A$11,0)),"")</f>
        <v>1</v>
      </c>
      <c r="P171" s="22" t="n">
        <f aca="false">IF(OR(O171="",E171=""),"",EDATE(E171,12*O171))</f>
        <v>46253</v>
      </c>
      <c r="Q171" s="22" t="n">
        <f aca="false">IF(E171="","",IFERROR(EDATE(E171,12*INDEX('State Rules'!$E$5:$E$11,MATCH($B171,'State Rules'!$A$5:$A$11,0))),""))</f>
        <v>46984</v>
      </c>
      <c r="R171" s="11" t="str">
        <f aca="false">IF(P171="","",IFERROR(IF(P171&lt;=INDEX('State Rules'!$I$5:$I$11,MATCH($B171,'State Rules'!$A$5:$A$11,0)),"Yes","No"),""))</f>
        <v>Yes</v>
      </c>
      <c r="S171" s="11" t="str">
        <f aca="false">IF(Q171="","",IFERROR(IF(Q171&lt;=INDEX('State Rules'!$I$5:$I$11,MATCH($B171,'State Rules'!$A$5:$A$11,0)),"Yes","No"),""))</f>
        <v>No</v>
      </c>
      <c r="T171" s="8"/>
      <c r="U171" s="8"/>
      <c r="V171" s="24"/>
      <c r="W171" s="24"/>
      <c r="X171" s="24"/>
      <c r="Y171" s="8"/>
      <c r="Z171" s="10" t="n">
        <f aca="false">IF(Q171="","",IF(Q171&lt;=$B$4,N(W171)+N(X171),0))</f>
        <v>0</v>
      </c>
      <c r="AA171" s="10" t="n">
        <f aca="false">IF(OR(LEFT(N171,6)="Larger",LEFT(N171,4)="Memo"),H171,0)</f>
        <v>0</v>
      </c>
      <c r="AB171" s="12" t="str">
        <f aca="false">IFERROR(INDEX('State Rules'!$M$5:$M$11,MATCH($B171,'State Rules'!$A$5:$A$11,0)),"")</f>
        <v>LONG</v>
      </c>
      <c r="AC171" s="22" t="n">
        <f aca="false">IF(AB171="SHORT",P171,IF(AB171="LONG",Q171,""))</f>
        <v>46984</v>
      </c>
      <c r="AD171" s="11" t="str">
        <f aca="false">IF(AB171="SHORT",R171,IF(AB171="LONG",S171,""))</f>
        <v>No</v>
      </c>
    </row>
    <row r="172" customFormat="false" ht="15" hidden="false" customHeight="false" outlineLevel="0" collapsed="false">
      <c r="A172" s="11" t="s">
        <v>47</v>
      </c>
      <c r="B172" s="12" t="str">
        <f aca="false">IF(U172&lt;&gt;"",U172,IFERROR(INDEX(Summary!$B$11:$B$18,MATCH($A172,Summary!$A$11:$A$18,0)),""))</f>
        <v>TX</v>
      </c>
      <c r="C172" s="11" t="s">
        <v>47</v>
      </c>
      <c r="D172" s="11" t="n">
        <v>47</v>
      </c>
      <c r="E172" s="22" t="n">
        <v>45974</v>
      </c>
      <c r="F172" s="11" t="s">
        <v>431</v>
      </c>
      <c r="G172" s="11"/>
      <c r="H172" s="10" t="n">
        <v>2000</v>
      </c>
      <c r="I172" s="11" t="s">
        <v>432</v>
      </c>
      <c r="J172" s="11" t="s">
        <v>101</v>
      </c>
      <c r="K172" s="23" t="n">
        <f aca="false">IF(E172="","",($B$4-E172)/365.25)</f>
        <v>0.895277207392197</v>
      </c>
      <c r="L172" s="11" t="str">
        <f aca="false">IF(K172="","no date",IF(K172&lt;1,"0-1 yrs",IF(K172&lt;2,"1-2 yrs",IF(K172&lt;3,"2-3 yrs",IF(K172&lt;5,"3-5 yrs","5+ yrs")))))</f>
        <v>0-1 yrs</v>
      </c>
      <c r="M172" s="11" t="s">
        <v>101</v>
      </c>
      <c r="N172" s="12" t="str">
        <f aca="false">IF(M172="Yes","Memo flag - not ours / unknown / hold: resolve",IF(OR(COUNTIF(Summary!$C$4:$R$4,H172)&gt;0,AND(A172="Philly",COUNTIF(Summary!$C$5:$R$5,H172)&gt;0),AND(A172="TUR",COUNTIF(Summary!$C$6:$R$6,H172)&gt;0),AND(A172="Leading Edge",COUNTIF(Summary!$C$7:$R$7,H172)&gt;0)),"Fee amount - presumed company revenue",IF(H172&lt;=Summary!$B$8,"Small amount - likely fee, review","Larger amount - likely includes agent commission")))</f>
        <v>Larger amount - likely includes agent commission</v>
      </c>
      <c r="O172" s="12" t="n">
        <f aca="false">IFERROR(INDEX('State Rules'!$C$5:$C$11,MATCH($B172,'State Rules'!$A$5:$A$11,0)),"")</f>
        <v>1</v>
      </c>
      <c r="P172" s="22" t="n">
        <f aca="false">IF(OR(O172="",E172=""),"",EDATE(E172,12*O172))</f>
        <v>46339</v>
      </c>
      <c r="Q172" s="22" t="n">
        <f aca="false">IF(E172="","",IFERROR(EDATE(E172,12*INDEX('State Rules'!$E$5:$E$11,MATCH($B172,'State Rules'!$A$5:$A$11,0))),""))</f>
        <v>47070</v>
      </c>
      <c r="R172" s="11" t="str">
        <f aca="false">IF(P172="","",IFERROR(IF(P172&lt;=INDEX('State Rules'!$I$5:$I$11,MATCH($B172,'State Rules'!$A$5:$A$11,0)),"Yes","No"),""))</f>
        <v>Yes</v>
      </c>
      <c r="S172" s="11" t="str">
        <f aca="false">IF(Q172="","",IFERROR(IF(Q172&lt;=INDEX('State Rules'!$I$5:$I$11,MATCH($B172,'State Rules'!$A$5:$A$11,0)),"Yes","No"),""))</f>
        <v>No</v>
      </c>
      <c r="T172" s="8"/>
      <c r="U172" s="8"/>
      <c r="V172" s="24"/>
      <c r="W172" s="24"/>
      <c r="X172" s="24"/>
      <c r="Y172" s="8"/>
      <c r="Z172" s="10" t="n">
        <f aca="false">IF(Q172="","",IF(Q172&lt;=$B$4,N(W172)+N(X172),0))</f>
        <v>0</v>
      </c>
      <c r="AA172" s="10" t="n">
        <f aca="false">IF(OR(LEFT(N172,6)="Larger",LEFT(N172,4)="Memo"),H172,0)</f>
        <v>2000</v>
      </c>
      <c r="AB172" s="12" t="str">
        <f aca="false">IFERROR(INDEX('State Rules'!$M$5:$M$11,MATCH($B172,'State Rules'!$A$5:$A$11,0)),"")</f>
        <v>LONG</v>
      </c>
      <c r="AC172" s="22" t="n">
        <f aca="false">IF(AB172="SHORT",P172,IF(AB172="LONG",Q172,""))</f>
        <v>47070</v>
      </c>
      <c r="AD172" s="11" t="str">
        <f aca="false">IF(AB172="SHORT",R172,IF(AB172="LONG",S172,""))</f>
        <v>No</v>
      </c>
    </row>
    <row r="173" customFormat="false" ht="15" hidden="false" customHeight="false" outlineLevel="0" collapsed="false">
      <c r="A173" s="11" t="s">
        <v>47</v>
      </c>
      <c r="B173" s="12" t="str">
        <f aca="false">IF(U173&lt;&gt;"",U173,IFERROR(INDEX(Summary!$B$11:$B$18,MATCH($A173,Summary!$A$11:$A$18,0)),""))</f>
        <v>TX</v>
      </c>
      <c r="C173" s="11" t="s">
        <v>47</v>
      </c>
      <c r="D173" s="11" t="n">
        <v>48</v>
      </c>
      <c r="E173" s="22" t="n">
        <v>45985</v>
      </c>
      <c r="F173" s="11" t="s">
        <v>416</v>
      </c>
      <c r="G173" s="11"/>
      <c r="H173" s="10" t="n">
        <v>1462.12</v>
      </c>
      <c r="I173" s="11" t="s">
        <v>433</v>
      </c>
      <c r="J173" s="11" t="s">
        <v>101</v>
      </c>
      <c r="K173" s="23" t="n">
        <f aca="false">IF(E173="","",($B$4-E173)/365.25)</f>
        <v>0.865160848733744</v>
      </c>
      <c r="L173" s="11" t="str">
        <f aca="false">IF(K173="","no date",IF(K173&lt;1,"0-1 yrs",IF(K173&lt;2,"1-2 yrs",IF(K173&lt;3,"2-3 yrs",IF(K173&lt;5,"3-5 yrs","5+ yrs")))))</f>
        <v>0-1 yrs</v>
      </c>
      <c r="M173" s="11" t="s">
        <v>101</v>
      </c>
      <c r="N173" s="12" t="str">
        <f aca="false">IF(M173="Yes","Memo flag - not ours / unknown / hold: resolve",IF(OR(COUNTIF(Summary!$C$4:$R$4,H173)&gt;0,AND(A173="Philly",COUNTIF(Summary!$C$5:$R$5,H173)&gt;0),AND(A173="TUR",COUNTIF(Summary!$C$6:$R$6,H173)&gt;0),AND(A173="Leading Edge",COUNTIF(Summary!$C$7:$R$7,H173)&gt;0)),"Fee amount - presumed company revenue",IF(H173&lt;=Summary!$B$8,"Small amount - likely fee, review","Larger amount - likely includes agent commission")))</f>
        <v>Larger amount - likely includes agent commission</v>
      </c>
      <c r="O173" s="12" t="n">
        <f aca="false">IFERROR(INDEX('State Rules'!$C$5:$C$11,MATCH($B173,'State Rules'!$A$5:$A$11,0)),"")</f>
        <v>1</v>
      </c>
      <c r="P173" s="22" t="n">
        <f aca="false">IF(OR(O173="",E173=""),"",EDATE(E173,12*O173))</f>
        <v>46350</v>
      </c>
      <c r="Q173" s="22" t="n">
        <f aca="false">IF(E173="","",IFERROR(EDATE(E173,12*INDEX('State Rules'!$E$5:$E$11,MATCH($B173,'State Rules'!$A$5:$A$11,0))),""))</f>
        <v>47081</v>
      </c>
      <c r="R173" s="11" t="str">
        <f aca="false">IF(P173="","",IFERROR(IF(P173&lt;=INDEX('State Rules'!$I$5:$I$11,MATCH($B173,'State Rules'!$A$5:$A$11,0)),"Yes","No"),""))</f>
        <v>Yes</v>
      </c>
      <c r="S173" s="11" t="str">
        <f aca="false">IF(Q173="","",IFERROR(IF(Q173&lt;=INDEX('State Rules'!$I$5:$I$11,MATCH($B173,'State Rules'!$A$5:$A$11,0)),"Yes","No"),""))</f>
        <v>No</v>
      </c>
      <c r="T173" s="8"/>
      <c r="U173" s="8"/>
      <c r="V173" s="24"/>
      <c r="W173" s="24"/>
      <c r="X173" s="24"/>
      <c r="Y173" s="8"/>
      <c r="Z173" s="10" t="n">
        <f aca="false">IF(Q173="","",IF(Q173&lt;=$B$4,N(W173)+N(X173),0))</f>
        <v>0</v>
      </c>
      <c r="AA173" s="10" t="n">
        <f aca="false">IF(OR(LEFT(N173,6)="Larger",LEFT(N173,4)="Memo"),H173,0)</f>
        <v>1462.12</v>
      </c>
      <c r="AB173" s="12" t="str">
        <f aca="false">IFERROR(INDEX('State Rules'!$M$5:$M$11,MATCH($B173,'State Rules'!$A$5:$A$11,0)),"")</f>
        <v>LONG</v>
      </c>
      <c r="AC173" s="22" t="n">
        <f aca="false">IF(AB173="SHORT",P173,IF(AB173="LONG",Q173,""))</f>
        <v>47081</v>
      </c>
      <c r="AD173" s="11" t="str">
        <f aca="false">IF(AB173="SHORT",R173,IF(AB173="LONG",S173,""))</f>
        <v>No</v>
      </c>
    </row>
    <row r="174" customFormat="false" ht="15" hidden="false" customHeight="false" outlineLevel="0" collapsed="false">
      <c r="A174" s="11" t="s">
        <v>47</v>
      </c>
      <c r="B174" s="12" t="str">
        <f aca="false">IF(U174&lt;&gt;"",U174,IFERROR(INDEX(Summary!$B$11:$B$18,MATCH($A174,Summary!$A$11:$A$18,0)),""))</f>
        <v>TX</v>
      </c>
      <c r="C174" s="11" t="s">
        <v>47</v>
      </c>
      <c r="D174" s="11" t="n">
        <v>49</v>
      </c>
      <c r="E174" s="22" t="n">
        <v>46008</v>
      </c>
      <c r="F174" s="11" t="s">
        <v>434</v>
      </c>
      <c r="G174" s="11"/>
      <c r="H174" s="10" t="n">
        <v>1060</v>
      </c>
      <c r="I174" s="11" t="s">
        <v>435</v>
      </c>
      <c r="J174" s="11" t="s">
        <v>101</v>
      </c>
      <c r="K174" s="23" t="n">
        <f aca="false">IF(E174="","",($B$4-E174)/365.25)</f>
        <v>0.802190280629706</v>
      </c>
      <c r="L174" s="11" t="str">
        <f aca="false">IF(K174="","no date",IF(K174&lt;1,"0-1 yrs",IF(K174&lt;2,"1-2 yrs",IF(K174&lt;3,"2-3 yrs",IF(K174&lt;5,"3-5 yrs","5+ yrs")))))</f>
        <v>0-1 yrs</v>
      </c>
      <c r="M174" s="11" t="s">
        <v>101</v>
      </c>
      <c r="N174" s="12" t="str">
        <f aca="false">IF(M174="Yes","Memo flag - not ours / unknown / hold: resolve",IF(OR(COUNTIF(Summary!$C$4:$R$4,H174)&gt;0,AND(A174="Philly",COUNTIF(Summary!$C$5:$R$5,H174)&gt;0),AND(A174="TUR",COUNTIF(Summary!$C$6:$R$6,H174)&gt;0),AND(A174="Leading Edge",COUNTIF(Summary!$C$7:$R$7,H174)&gt;0)),"Fee amount - presumed company revenue",IF(H174&lt;=Summary!$B$8,"Small amount - likely fee, review","Larger amount - likely includes agent commission")))</f>
        <v>Larger amount - likely includes agent commission</v>
      </c>
      <c r="O174" s="12" t="n">
        <f aca="false">IFERROR(INDEX('State Rules'!$C$5:$C$11,MATCH($B174,'State Rules'!$A$5:$A$11,0)),"")</f>
        <v>1</v>
      </c>
      <c r="P174" s="22" t="n">
        <f aca="false">IF(OR(O174="",E174=""),"",EDATE(E174,12*O174))</f>
        <v>46373</v>
      </c>
      <c r="Q174" s="22" t="n">
        <f aca="false">IF(E174="","",IFERROR(EDATE(E174,12*INDEX('State Rules'!$E$5:$E$11,MATCH($B174,'State Rules'!$A$5:$A$11,0))),""))</f>
        <v>47104</v>
      </c>
      <c r="R174" s="11" t="str">
        <f aca="false">IF(P174="","",IFERROR(IF(P174&lt;=INDEX('State Rules'!$I$5:$I$11,MATCH($B174,'State Rules'!$A$5:$A$11,0)),"Yes","No"),""))</f>
        <v>Yes</v>
      </c>
      <c r="S174" s="11" t="str">
        <f aca="false">IF(Q174="","",IFERROR(IF(Q174&lt;=INDEX('State Rules'!$I$5:$I$11,MATCH($B174,'State Rules'!$A$5:$A$11,0)),"Yes","No"),""))</f>
        <v>No</v>
      </c>
      <c r="T174" s="8"/>
      <c r="U174" s="8"/>
      <c r="V174" s="24"/>
      <c r="W174" s="24"/>
      <c r="X174" s="24"/>
      <c r="Y174" s="8"/>
      <c r="Z174" s="10" t="n">
        <f aca="false">IF(Q174="","",IF(Q174&lt;=$B$4,N(W174)+N(X174),0))</f>
        <v>0</v>
      </c>
      <c r="AA174" s="10" t="n">
        <f aca="false">IF(OR(LEFT(N174,6)="Larger",LEFT(N174,4)="Memo"),H174,0)</f>
        <v>1060</v>
      </c>
      <c r="AB174" s="12" t="str">
        <f aca="false">IFERROR(INDEX('State Rules'!$M$5:$M$11,MATCH($B174,'State Rules'!$A$5:$A$11,0)),"")</f>
        <v>LONG</v>
      </c>
      <c r="AC174" s="22" t="n">
        <f aca="false">IF(AB174="SHORT",P174,IF(AB174="LONG",Q174,""))</f>
        <v>47104</v>
      </c>
      <c r="AD174" s="11" t="str">
        <f aca="false">IF(AB174="SHORT",R174,IF(AB174="LONG",S174,""))</f>
        <v>No</v>
      </c>
    </row>
    <row r="175" customFormat="false" ht="15" hidden="false" customHeight="false" outlineLevel="0" collapsed="false">
      <c r="A175" s="11" t="s">
        <v>47</v>
      </c>
      <c r="B175" s="12" t="str">
        <f aca="false">IF(U175&lt;&gt;"",U175,IFERROR(INDEX(Summary!$B$11:$B$18,MATCH($A175,Summary!$A$11:$A$18,0)),""))</f>
        <v>TX</v>
      </c>
      <c r="C175" s="11" t="s">
        <v>47</v>
      </c>
      <c r="D175" s="11" t="n">
        <v>50</v>
      </c>
      <c r="E175" s="22" t="n">
        <v>46055</v>
      </c>
      <c r="F175" s="11" t="s">
        <v>416</v>
      </c>
      <c r="G175" s="11"/>
      <c r="H175" s="10" t="n">
        <v>625</v>
      </c>
      <c r="I175" s="11"/>
      <c r="J175" s="11" t="s">
        <v>101</v>
      </c>
      <c r="K175" s="23" t="n">
        <f aca="false">IF(E175="","",($B$4-E175)/365.25)</f>
        <v>0.673511293634497</v>
      </c>
      <c r="L175" s="11" t="str">
        <f aca="false">IF(K175="","no date",IF(K175&lt;1,"0-1 yrs",IF(K175&lt;2,"1-2 yrs",IF(K175&lt;3,"2-3 yrs",IF(K175&lt;5,"3-5 yrs","5+ yrs")))))</f>
        <v>0-1 yrs</v>
      </c>
      <c r="M175" s="11" t="s">
        <v>101</v>
      </c>
      <c r="N175" s="12" t="str">
        <f aca="false">IF(M175="Yes","Memo flag - not ours / unknown / hold: resolve",IF(OR(COUNTIF(Summary!$C$4:$R$4,H175)&gt;0,AND(A175="Philly",COUNTIF(Summary!$C$5:$R$5,H175)&gt;0),AND(A175="TUR",COUNTIF(Summary!$C$6:$R$6,H175)&gt;0),AND(A175="Leading Edge",COUNTIF(Summary!$C$7:$R$7,H175)&gt;0)),"Fee amount - presumed company revenue",IF(H175&lt;=Summary!$B$8,"Small amount - likely fee, review","Larger amount - likely includes agent commission")))</f>
        <v>Larger amount - likely includes agent commission</v>
      </c>
      <c r="O175" s="12" t="n">
        <f aca="false">IFERROR(INDEX('State Rules'!$C$5:$C$11,MATCH($B175,'State Rules'!$A$5:$A$11,0)),"")</f>
        <v>1</v>
      </c>
      <c r="P175" s="22" t="n">
        <f aca="false">IF(OR(O175="",E175=""),"",EDATE(E175,12*O175))</f>
        <v>46420</v>
      </c>
      <c r="Q175" s="22" t="n">
        <f aca="false">IF(E175="","",IFERROR(EDATE(E175,12*INDEX('State Rules'!$E$5:$E$11,MATCH($B175,'State Rules'!$A$5:$A$11,0))),""))</f>
        <v>47151</v>
      </c>
      <c r="R175" s="11" t="str">
        <f aca="false">IF(P175="","",IFERROR(IF(P175&lt;=INDEX('State Rules'!$I$5:$I$11,MATCH($B175,'State Rules'!$A$5:$A$11,0)),"Yes","No"),""))</f>
        <v>Yes</v>
      </c>
      <c r="S175" s="11" t="str">
        <f aca="false">IF(Q175="","",IFERROR(IF(Q175&lt;=INDEX('State Rules'!$I$5:$I$11,MATCH($B175,'State Rules'!$A$5:$A$11,0)),"Yes","No"),""))</f>
        <v>No</v>
      </c>
      <c r="T175" s="8"/>
      <c r="U175" s="8"/>
      <c r="V175" s="24"/>
      <c r="W175" s="24"/>
      <c r="X175" s="24"/>
      <c r="Y175" s="8"/>
      <c r="Z175" s="10" t="n">
        <f aca="false">IF(Q175="","",IF(Q175&lt;=$B$4,N(W175)+N(X175),0))</f>
        <v>0</v>
      </c>
      <c r="AA175" s="10" t="n">
        <f aca="false">IF(OR(LEFT(N175,6)="Larger",LEFT(N175,4)="Memo"),H175,0)</f>
        <v>625</v>
      </c>
      <c r="AB175" s="12" t="str">
        <f aca="false">IFERROR(INDEX('State Rules'!$M$5:$M$11,MATCH($B175,'State Rules'!$A$5:$A$11,0)),"")</f>
        <v>LONG</v>
      </c>
      <c r="AC175" s="22" t="n">
        <f aca="false">IF(AB175="SHORT",P175,IF(AB175="LONG",Q175,""))</f>
        <v>47151</v>
      </c>
      <c r="AD175" s="11" t="str">
        <f aca="false">IF(AB175="SHORT",R175,IF(AB175="LONG",S175,""))</f>
        <v>No</v>
      </c>
    </row>
    <row r="176" customFormat="false" ht="15" hidden="false" customHeight="false" outlineLevel="0" collapsed="false">
      <c r="A176" s="11" t="s">
        <v>47</v>
      </c>
      <c r="B176" s="12" t="str">
        <f aca="false">IF(U176&lt;&gt;"",U176,IFERROR(INDEX(Summary!$B$11:$B$18,MATCH($A176,Summary!$A$11:$A$18,0)),""))</f>
        <v>TX</v>
      </c>
      <c r="C176" s="11" t="s">
        <v>47</v>
      </c>
      <c r="D176" s="11" t="n">
        <v>51</v>
      </c>
      <c r="E176" s="22" t="n">
        <v>46132</v>
      </c>
      <c r="F176" s="11" t="s">
        <v>436</v>
      </c>
      <c r="G176" s="11"/>
      <c r="H176" s="10" t="n">
        <v>1000</v>
      </c>
      <c r="I176" s="11"/>
      <c r="J176" s="11" t="s">
        <v>101</v>
      </c>
      <c r="K176" s="23" t="n">
        <f aca="false">IF(E176="","",($B$4-E176)/365.25)</f>
        <v>0.462696783025325</v>
      </c>
      <c r="L176" s="11" t="str">
        <f aca="false">IF(K176="","no date",IF(K176&lt;1,"0-1 yrs",IF(K176&lt;2,"1-2 yrs",IF(K176&lt;3,"2-3 yrs",IF(K176&lt;5,"3-5 yrs","5+ yrs")))))</f>
        <v>0-1 yrs</v>
      </c>
      <c r="M176" s="11" t="s">
        <v>101</v>
      </c>
      <c r="N176" s="12" t="str">
        <f aca="false">IF(M176="Yes","Memo flag - not ours / unknown / hold: resolve",IF(OR(COUNTIF(Summary!$C$4:$R$4,H176)&gt;0,AND(A176="Philly",COUNTIF(Summary!$C$5:$R$5,H176)&gt;0),AND(A176="TUR",COUNTIF(Summary!$C$6:$R$6,H176)&gt;0),AND(A176="Leading Edge",COUNTIF(Summary!$C$7:$R$7,H176)&gt;0)),"Fee amount - presumed company revenue",IF(H176&lt;=Summary!$B$8,"Small amount - likely fee, review","Larger amount - likely includes agent commission")))</f>
        <v>Larger amount - likely includes agent commission</v>
      </c>
      <c r="O176" s="12" t="n">
        <f aca="false">IFERROR(INDEX('State Rules'!$C$5:$C$11,MATCH($B176,'State Rules'!$A$5:$A$11,0)),"")</f>
        <v>1</v>
      </c>
      <c r="P176" s="22" t="n">
        <f aca="false">IF(OR(O176="",E176=""),"",EDATE(E176,12*O176))</f>
        <v>46497</v>
      </c>
      <c r="Q176" s="22" t="n">
        <f aca="false">IF(E176="","",IFERROR(EDATE(E176,12*INDEX('State Rules'!$E$5:$E$11,MATCH($B176,'State Rules'!$A$5:$A$11,0))),""))</f>
        <v>47228</v>
      </c>
      <c r="R176" s="11" t="str">
        <f aca="false">IF(P176="","",IFERROR(IF(P176&lt;=INDEX('State Rules'!$I$5:$I$11,MATCH($B176,'State Rules'!$A$5:$A$11,0)),"Yes","No"),""))</f>
        <v>No</v>
      </c>
      <c r="S176" s="11" t="str">
        <f aca="false">IF(Q176="","",IFERROR(IF(Q176&lt;=INDEX('State Rules'!$I$5:$I$11,MATCH($B176,'State Rules'!$A$5:$A$11,0)),"Yes","No"),""))</f>
        <v>No</v>
      </c>
      <c r="T176" s="8"/>
      <c r="U176" s="8"/>
      <c r="V176" s="24"/>
      <c r="W176" s="24"/>
      <c r="X176" s="24"/>
      <c r="Y176" s="8"/>
      <c r="Z176" s="10" t="n">
        <f aca="false">IF(Q176="","",IF(Q176&lt;=$B$4,N(W176)+N(X176),0))</f>
        <v>0</v>
      </c>
      <c r="AA176" s="10" t="n">
        <f aca="false">IF(OR(LEFT(N176,6)="Larger",LEFT(N176,4)="Memo"),H176,0)</f>
        <v>1000</v>
      </c>
      <c r="AB176" s="12" t="str">
        <f aca="false">IFERROR(INDEX('State Rules'!$M$5:$M$11,MATCH($B176,'State Rules'!$A$5:$A$11,0)),"")</f>
        <v>LONG</v>
      </c>
      <c r="AC176" s="22" t="n">
        <f aca="false">IF(AB176="SHORT",P176,IF(AB176="LONG",Q176,""))</f>
        <v>47228</v>
      </c>
      <c r="AD176" s="11" t="str">
        <f aca="false">IF(AB176="SHORT",R176,IF(AB176="LONG",S176,""))</f>
        <v>No</v>
      </c>
    </row>
    <row r="177" customFormat="false" ht="15" hidden="false" customHeight="false" outlineLevel="0" collapsed="false">
      <c r="A177" s="11" t="s">
        <v>47</v>
      </c>
      <c r="B177" s="12" t="str">
        <f aca="false">IF(U177&lt;&gt;"",U177,IFERROR(INDEX(Summary!$B$11:$B$18,MATCH($A177,Summary!$A$11:$A$18,0)),""))</f>
        <v>TX</v>
      </c>
      <c r="C177" s="11" t="s">
        <v>47</v>
      </c>
      <c r="D177" s="11" t="n">
        <v>52</v>
      </c>
      <c r="E177" s="22" t="n">
        <v>46189</v>
      </c>
      <c r="F177" s="11" t="s">
        <v>416</v>
      </c>
      <c r="G177" s="11"/>
      <c r="H177" s="10" t="n">
        <v>595</v>
      </c>
      <c r="I177" s="11"/>
      <c r="J177" s="11" t="s">
        <v>101</v>
      </c>
      <c r="K177" s="23" t="n">
        <f aca="false">IF(E177="","",($B$4-E177)/365.25)</f>
        <v>0.306639288158795</v>
      </c>
      <c r="L177" s="11" t="str">
        <f aca="false">IF(K177="","no date",IF(K177&lt;1,"0-1 yrs",IF(K177&lt;2,"1-2 yrs",IF(K177&lt;3,"2-3 yrs",IF(K177&lt;5,"3-5 yrs","5+ yrs")))))</f>
        <v>0-1 yrs</v>
      </c>
      <c r="M177" s="11" t="s">
        <v>101</v>
      </c>
      <c r="N177" s="12" t="str">
        <f aca="false">IF(M177="Yes","Memo flag - not ours / unknown / hold: resolve",IF(OR(COUNTIF(Summary!$C$4:$R$4,H177)&gt;0,AND(A177="Philly",COUNTIF(Summary!$C$5:$R$5,H177)&gt;0),AND(A177="TUR",COUNTIF(Summary!$C$6:$R$6,H177)&gt;0),AND(A177="Leading Edge",COUNTIF(Summary!$C$7:$R$7,H177)&gt;0)),"Fee amount - presumed company revenue",IF(H177&lt;=Summary!$B$8,"Small amount - likely fee, review","Larger amount - likely includes agent commission")))</f>
        <v>Fee amount - presumed company revenue</v>
      </c>
      <c r="O177" s="12" t="n">
        <f aca="false">IFERROR(INDEX('State Rules'!$C$5:$C$11,MATCH($B177,'State Rules'!$A$5:$A$11,0)),"")</f>
        <v>1</v>
      </c>
      <c r="P177" s="22" t="n">
        <f aca="false">IF(OR(O177="",E177=""),"",EDATE(E177,12*O177))</f>
        <v>46554</v>
      </c>
      <c r="Q177" s="22" t="n">
        <f aca="false">IF(E177="","",IFERROR(EDATE(E177,12*INDEX('State Rules'!$E$5:$E$11,MATCH($B177,'State Rules'!$A$5:$A$11,0))),""))</f>
        <v>47285</v>
      </c>
      <c r="R177" s="11" t="str">
        <f aca="false">IF(P177="","",IFERROR(IF(P177&lt;=INDEX('State Rules'!$I$5:$I$11,MATCH($B177,'State Rules'!$A$5:$A$11,0)),"Yes","No"),""))</f>
        <v>No</v>
      </c>
      <c r="S177" s="11" t="str">
        <f aca="false">IF(Q177="","",IFERROR(IF(Q177&lt;=INDEX('State Rules'!$I$5:$I$11,MATCH($B177,'State Rules'!$A$5:$A$11,0)),"Yes","No"),""))</f>
        <v>No</v>
      </c>
      <c r="T177" s="8"/>
      <c r="U177" s="8"/>
      <c r="V177" s="24"/>
      <c r="W177" s="24"/>
      <c r="X177" s="24"/>
      <c r="Y177" s="8"/>
      <c r="Z177" s="10" t="n">
        <f aca="false">IF(Q177="","",IF(Q177&lt;=$B$4,N(W177)+N(X177),0))</f>
        <v>0</v>
      </c>
      <c r="AA177" s="10" t="n">
        <f aca="false">IF(OR(LEFT(N177,6)="Larger",LEFT(N177,4)="Memo"),H177,0)</f>
        <v>0</v>
      </c>
      <c r="AB177" s="12" t="str">
        <f aca="false">IFERROR(INDEX('State Rules'!$M$5:$M$11,MATCH($B177,'State Rules'!$A$5:$A$11,0)),"")</f>
        <v>LONG</v>
      </c>
      <c r="AC177" s="22" t="n">
        <f aca="false">IF(AB177="SHORT",P177,IF(AB177="LONG",Q177,""))</f>
        <v>47285</v>
      </c>
      <c r="AD177" s="11" t="str">
        <f aca="false">IF(AB177="SHORT",R177,IF(AB177="LONG",S177,""))</f>
        <v>No</v>
      </c>
    </row>
    <row r="178" customFormat="false" ht="15" hidden="false" customHeight="false" outlineLevel="0" collapsed="false">
      <c r="A178" s="11" t="s">
        <v>47</v>
      </c>
      <c r="B178" s="12" t="str">
        <f aca="false">IF(U178&lt;&gt;"",U178,IFERROR(INDEX(Summary!$B$11:$B$18,MATCH($A178,Summary!$A$11:$A$18,0)),""))</f>
        <v>TX</v>
      </c>
      <c r="C178" s="11" t="s">
        <v>47</v>
      </c>
      <c r="D178" s="11" t="n">
        <v>53</v>
      </c>
      <c r="E178" s="22" t="n">
        <v>46218</v>
      </c>
      <c r="F178" s="11" t="s">
        <v>437</v>
      </c>
      <c r="G178" s="11"/>
      <c r="H178" s="10" t="n">
        <v>595</v>
      </c>
      <c r="I178" s="11" t="s">
        <v>438</v>
      </c>
      <c r="J178" s="11" t="s">
        <v>101</v>
      </c>
      <c r="K178" s="23" t="n">
        <f aca="false">IF(E178="","",($B$4-E178)/365.25)</f>
        <v>0.227241615331964</v>
      </c>
      <c r="L178" s="11" t="str">
        <f aca="false">IF(K178="","no date",IF(K178&lt;1,"0-1 yrs",IF(K178&lt;2,"1-2 yrs",IF(K178&lt;3,"2-3 yrs",IF(K178&lt;5,"3-5 yrs","5+ yrs")))))</f>
        <v>0-1 yrs</v>
      </c>
      <c r="M178" s="11" t="s">
        <v>101</v>
      </c>
      <c r="N178" s="12" t="str">
        <f aca="false">IF(M178="Yes","Memo flag - not ours / unknown / hold: resolve",IF(OR(COUNTIF(Summary!$C$4:$R$4,H178)&gt;0,AND(A178="Philly",COUNTIF(Summary!$C$5:$R$5,H178)&gt;0),AND(A178="TUR",COUNTIF(Summary!$C$6:$R$6,H178)&gt;0),AND(A178="Leading Edge",COUNTIF(Summary!$C$7:$R$7,H178)&gt;0)),"Fee amount - presumed company revenue",IF(H178&lt;=Summary!$B$8,"Small amount - likely fee, review","Larger amount - likely includes agent commission")))</f>
        <v>Fee amount - presumed company revenue</v>
      </c>
      <c r="O178" s="12" t="n">
        <f aca="false">IFERROR(INDEX('State Rules'!$C$5:$C$11,MATCH($B178,'State Rules'!$A$5:$A$11,0)),"")</f>
        <v>1</v>
      </c>
      <c r="P178" s="22" t="n">
        <f aca="false">IF(OR(O178="",E178=""),"",EDATE(E178,12*O178))</f>
        <v>46583</v>
      </c>
      <c r="Q178" s="22" t="n">
        <f aca="false">IF(E178="","",IFERROR(EDATE(E178,12*INDEX('State Rules'!$E$5:$E$11,MATCH($B178,'State Rules'!$A$5:$A$11,0))),""))</f>
        <v>47314</v>
      </c>
      <c r="R178" s="11" t="str">
        <f aca="false">IF(P178="","",IFERROR(IF(P178&lt;=INDEX('State Rules'!$I$5:$I$11,MATCH($B178,'State Rules'!$A$5:$A$11,0)),"Yes","No"),""))</f>
        <v>No</v>
      </c>
      <c r="S178" s="11" t="str">
        <f aca="false">IF(Q178="","",IFERROR(IF(Q178&lt;=INDEX('State Rules'!$I$5:$I$11,MATCH($B178,'State Rules'!$A$5:$A$11,0)),"Yes","No"),""))</f>
        <v>No</v>
      </c>
      <c r="T178" s="8"/>
      <c r="U178" s="8"/>
      <c r="V178" s="24"/>
      <c r="W178" s="24"/>
      <c r="X178" s="24"/>
      <c r="Y178" s="8"/>
      <c r="Z178" s="10" t="n">
        <f aca="false">IF(Q178="","",IF(Q178&lt;=$B$4,N(W178)+N(X178),0))</f>
        <v>0</v>
      </c>
      <c r="AA178" s="10" t="n">
        <f aca="false">IF(OR(LEFT(N178,6)="Larger",LEFT(N178,4)="Memo"),H178,0)</f>
        <v>0</v>
      </c>
      <c r="AB178" s="12" t="str">
        <f aca="false">IFERROR(INDEX('State Rules'!$M$5:$M$11,MATCH($B178,'State Rules'!$A$5:$A$11,0)),"")</f>
        <v>LONG</v>
      </c>
      <c r="AC178" s="22" t="n">
        <f aca="false">IF(AB178="SHORT",P178,IF(AB178="LONG",Q178,""))</f>
        <v>47314</v>
      </c>
      <c r="AD178" s="11" t="str">
        <f aca="false">IF(AB178="SHORT",R178,IF(AB178="LONG",S178,""))</f>
        <v>No</v>
      </c>
    </row>
    <row r="179" customFormat="false" ht="15" hidden="false" customHeight="false" outlineLevel="0" collapsed="false">
      <c r="A179" s="11" t="s">
        <v>47</v>
      </c>
      <c r="B179" s="12" t="str">
        <f aca="false">IF(U179&lt;&gt;"",U179,IFERROR(INDEX(Summary!$B$11:$B$18,MATCH($A179,Summary!$A$11:$A$18,0)),""))</f>
        <v>TX</v>
      </c>
      <c r="C179" s="11" t="s">
        <v>47</v>
      </c>
      <c r="D179" s="11" t="n">
        <v>54</v>
      </c>
      <c r="E179" s="22" t="n">
        <v>46227</v>
      </c>
      <c r="F179" s="11" t="s">
        <v>439</v>
      </c>
      <c r="G179" s="11"/>
      <c r="H179" s="10" t="n">
        <v>1250</v>
      </c>
      <c r="I179" s="11"/>
      <c r="J179" s="11" t="s">
        <v>101</v>
      </c>
      <c r="K179" s="23" t="n">
        <f aca="false">IF(E179="","",($B$4-E179)/365.25)</f>
        <v>0.202600958247776</v>
      </c>
      <c r="L179" s="11" t="str">
        <f aca="false">IF(K179="","no date",IF(K179&lt;1,"0-1 yrs",IF(K179&lt;2,"1-2 yrs",IF(K179&lt;3,"2-3 yrs",IF(K179&lt;5,"3-5 yrs","5+ yrs")))))</f>
        <v>0-1 yrs</v>
      </c>
      <c r="M179" s="11" t="s">
        <v>101</v>
      </c>
      <c r="N179" s="12" t="str">
        <f aca="false">IF(M179="Yes","Memo flag - not ours / unknown / hold: resolve",IF(OR(COUNTIF(Summary!$C$4:$R$4,H179)&gt;0,AND(A179="Philly",COUNTIF(Summary!$C$5:$R$5,H179)&gt;0),AND(A179="TUR",COUNTIF(Summary!$C$6:$R$6,H179)&gt;0),AND(A179="Leading Edge",COUNTIF(Summary!$C$7:$R$7,H179)&gt;0)),"Fee amount - presumed company revenue",IF(H179&lt;=Summary!$B$8,"Small amount - likely fee, review","Larger amount - likely includes agent commission")))</f>
        <v>Larger amount - likely includes agent commission</v>
      </c>
      <c r="O179" s="12" t="n">
        <f aca="false">IFERROR(INDEX('State Rules'!$C$5:$C$11,MATCH($B179,'State Rules'!$A$5:$A$11,0)),"")</f>
        <v>1</v>
      </c>
      <c r="P179" s="22" t="n">
        <f aca="false">IF(OR(O179="",E179=""),"",EDATE(E179,12*O179))</f>
        <v>46592</v>
      </c>
      <c r="Q179" s="22" t="n">
        <f aca="false">IF(E179="","",IFERROR(EDATE(E179,12*INDEX('State Rules'!$E$5:$E$11,MATCH($B179,'State Rules'!$A$5:$A$11,0))),""))</f>
        <v>47323</v>
      </c>
      <c r="R179" s="11" t="str">
        <f aca="false">IF(P179="","",IFERROR(IF(P179&lt;=INDEX('State Rules'!$I$5:$I$11,MATCH($B179,'State Rules'!$A$5:$A$11,0)),"Yes","No"),""))</f>
        <v>No</v>
      </c>
      <c r="S179" s="11" t="str">
        <f aca="false">IF(Q179="","",IFERROR(IF(Q179&lt;=INDEX('State Rules'!$I$5:$I$11,MATCH($B179,'State Rules'!$A$5:$A$11,0)),"Yes","No"),""))</f>
        <v>No</v>
      </c>
      <c r="T179" s="8"/>
      <c r="U179" s="8"/>
      <c r="V179" s="24"/>
      <c r="W179" s="24"/>
      <c r="X179" s="24"/>
      <c r="Y179" s="8"/>
      <c r="Z179" s="10" t="n">
        <f aca="false">IF(Q179="","",IF(Q179&lt;=$B$4,N(W179)+N(X179),0))</f>
        <v>0</v>
      </c>
      <c r="AA179" s="10" t="n">
        <f aca="false">IF(OR(LEFT(N179,6)="Larger",LEFT(N179,4)="Memo"),H179,0)</f>
        <v>1250</v>
      </c>
      <c r="AB179" s="12" t="str">
        <f aca="false">IFERROR(INDEX('State Rules'!$M$5:$M$11,MATCH($B179,'State Rules'!$A$5:$A$11,0)),"")</f>
        <v>LONG</v>
      </c>
      <c r="AC179" s="22" t="n">
        <f aca="false">IF(AB179="SHORT",P179,IF(AB179="LONG",Q179,""))</f>
        <v>47323</v>
      </c>
      <c r="AD179" s="11" t="str">
        <f aca="false">IF(AB179="SHORT",R179,IF(AB179="LONG",S179,""))</f>
        <v>No</v>
      </c>
    </row>
    <row r="180" customFormat="false" ht="15" hidden="false" customHeight="false" outlineLevel="0" collapsed="false">
      <c r="A180" s="11" t="s">
        <v>47</v>
      </c>
      <c r="B180" s="12" t="str">
        <f aca="false">IF(U180&lt;&gt;"",U180,IFERROR(INDEX(Summary!$B$11:$B$18,MATCH($A180,Summary!$A$11:$A$18,0)),""))</f>
        <v>TX</v>
      </c>
      <c r="C180" s="11" t="s">
        <v>47</v>
      </c>
      <c r="D180" s="11" t="n">
        <v>58</v>
      </c>
      <c r="E180" s="22" t="n">
        <v>46248</v>
      </c>
      <c r="F180" s="11" t="s">
        <v>439</v>
      </c>
      <c r="G180" s="11"/>
      <c r="H180" s="10" t="n">
        <v>344</v>
      </c>
      <c r="I180" s="11" t="s">
        <v>440</v>
      </c>
      <c r="J180" s="11" t="s">
        <v>101</v>
      </c>
      <c r="K180" s="23" t="n">
        <f aca="false">IF(E180="","",($B$4-E180)/365.25)</f>
        <v>0.145106091718001</v>
      </c>
      <c r="L180" s="11" t="str">
        <f aca="false">IF(K180="","no date",IF(K180&lt;1,"0-1 yrs",IF(K180&lt;2,"1-2 yrs",IF(K180&lt;3,"2-3 yrs",IF(K180&lt;5,"3-5 yrs","5+ yrs")))))</f>
        <v>0-1 yrs</v>
      </c>
      <c r="M180" s="11" t="s">
        <v>101</v>
      </c>
      <c r="N180" s="12" t="str">
        <f aca="false">IF(M180="Yes","Memo flag - not ours / unknown / hold: resolve",IF(OR(COUNTIF(Summary!$C$4:$R$4,H180)&gt;0,AND(A180="Philly",COUNTIF(Summary!$C$5:$R$5,H180)&gt;0),AND(A180="TUR",COUNTIF(Summary!$C$6:$R$6,H180)&gt;0),AND(A180="Leading Edge",COUNTIF(Summary!$C$7:$R$7,H180)&gt;0)),"Fee amount - presumed company revenue",IF(H180&lt;=Summary!$B$8,"Small amount - likely fee, review","Larger amount - likely includes agent commission")))</f>
        <v>Larger amount - likely includes agent commission</v>
      </c>
      <c r="O180" s="12" t="n">
        <f aca="false">IFERROR(INDEX('State Rules'!$C$5:$C$11,MATCH($B180,'State Rules'!$A$5:$A$11,0)),"")</f>
        <v>1</v>
      </c>
      <c r="P180" s="22" t="n">
        <f aca="false">IF(OR(O180="",E180=""),"",EDATE(E180,12*O180))</f>
        <v>46613</v>
      </c>
      <c r="Q180" s="22" t="n">
        <f aca="false">IF(E180="","",IFERROR(EDATE(E180,12*INDEX('State Rules'!$E$5:$E$11,MATCH($B180,'State Rules'!$A$5:$A$11,0))),""))</f>
        <v>47344</v>
      </c>
      <c r="R180" s="11" t="str">
        <f aca="false">IF(P180="","",IFERROR(IF(P180&lt;=INDEX('State Rules'!$I$5:$I$11,MATCH($B180,'State Rules'!$A$5:$A$11,0)),"Yes","No"),""))</f>
        <v>No</v>
      </c>
      <c r="S180" s="11" t="str">
        <f aca="false">IF(Q180="","",IFERROR(IF(Q180&lt;=INDEX('State Rules'!$I$5:$I$11,MATCH($B180,'State Rules'!$A$5:$A$11,0)),"Yes","No"),""))</f>
        <v>No</v>
      </c>
      <c r="T180" s="8"/>
      <c r="U180" s="8"/>
      <c r="V180" s="24"/>
      <c r="W180" s="24"/>
      <c r="X180" s="24"/>
      <c r="Y180" s="8"/>
      <c r="Z180" s="10" t="n">
        <f aca="false">IF(Q180="","",IF(Q180&lt;=$B$4,N(W180)+N(X180),0))</f>
        <v>0</v>
      </c>
      <c r="AA180" s="10" t="n">
        <f aca="false">IF(OR(LEFT(N180,6)="Larger",LEFT(N180,4)="Memo"),H180,0)</f>
        <v>344</v>
      </c>
      <c r="AB180" s="12" t="str">
        <f aca="false">IFERROR(INDEX('State Rules'!$M$5:$M$11,MATCH($B180,'State Rules'!$A$5:$A$11,0)),"")</f>
        <v>LONG</v>
      </c>
      <c r="AC180" s="22" t="n">
        <f aca="false">IF(AB180="SHORT",P180,IF(AB180="LONG",Q180,""))</f>
        <v>47344</v>
      </c>
      <c r="AD180" s="11" t="str">
        <f aca="false">IF(AB180="SHORT",R180,IF(AB180="LONG",S180,""))</f>
        <v>No</v>
      </c>
    </row>
    <row r="181" customFormat="false" ht="15" hidden="false" customHeight="false" outlineLevel="0" collapsed="false">
      <c r="A181" s="11" t="s">
        <v>50</v>
      </c>
      <c r="B181" s="12" t="str">
        <f aca="false">IF(U181&lt;&gt;"",U181,IFERROR(INDEX(Summary!$B$11:$B$18,MATCH($A181,Summary!$A$11:$A$18,0)),""))</f>
        <v>FL</v>
      </c>
      <c r="C181" s="11" t="s">
        <v>50</v>
      </c>
      <c r="D181" s="11" t="n">
        <v>22</v>
      </c>
      <c r="E181" s="22" t="n">
        <v>46156</v>
      </c>
      <c r="F181" s="11" t="s">
        <v>441</v>
      </c>
      <c r="G181" s="11"/>
      <c r="H181" s="10" t="n">
        <v>850</v>
      </c>
      <c r="I181" s="11"/>
      <c r="J181" s="11" t="s">
        <v>101</v>
      </c>
      <c r="K181" s="23" t="n">
        <f aca="false">IF(E181="","",($B$4-E181)/365.25)</f>
        <v>0.396988364134155</v>
      </c>
      <c r="L181" s="11" t="str">
        <f aca="false">IF(K181="","no date",IF(K181&lt;1,"0-1 yrs",IF(K181&lt;2,"1-2 yrs",IF(K181&lt;3,"2-3 yrs",IF(K181&lt;5,"3-5 yrs","5+ yrs")))))</f>
        <v>0-1 yrs</v>
      </c>
      <c r="M181" s="11" t="s">
        <v>101</v>
      </c>
      <c r="N181" s="12" t="str">
        <f aca="false">IF(M181="Yes","Memo flag - not ours / unknown / hold: resolve",IF(OR(COUNTIF(Summary!$C$4:$R$4,H181)&gt;0,AND(A181="Philly",COUNTIF(Summary!$C$5:$R$5,H181)&gt;0),AND(A181="TUR",COUNTIF(Summary!$C$6:$R$6,H181)&gt;0),AND(A181="Leading Edge",COUNTIF(Summary!$C$7:$R$7,H181)&gt;0)),"Fee amount - presumed company revenue",IF(H181&lt;=Summary!$B$8,"Small amount - likely fee, review","Larger amount - likely includes agent commission")))</f>
        <v>Larger amount - likely includes agent commission</v>
      </c>
      <c r="O181" s="12" t="n">
        <f aca="false">IFERROR(INDEX('State Rules'!$C$5:$C$11,MATCH($B181,'State Rules'!$A$5:$A$11,0)),"")</f>
        <v>1</v>
      </c>
      <c r="P181" s="22" t="n">
        <f aca="false">IF(OR(O181="",E181=""),"",EDATE(E181,12*O181))</f>
        <v>46521</v>
      </c>
      <c r="Q181" s="22" t="n">
        <f aca="false">IF(E181="","",IFERROR(EDATE(E181,12*INDEX('State Rules'!$E$5:$E$11,MATCH($B181,'State Rules'!$A$5:$A$11,0))),""))</f>
        <v>47252</v>
      </c>
      <c r="R181" s="11" t="str">
        <f aca="false">IF(P181="","",IFERROR(IF(P181&lt;=INDEX('State Rules'!$I$5:$I$11,MATCH($B181,'State Rules'!$A$5:$A$11,0)),"Yes","No"),""))</f>
        <v>No</v>
      </c>
      <c r="S181" s="11" t="str">
        <f aca="false">IF(Q181="","",IFERROR(IF(Q181&lt;=INDEX('State Rules'!$I$5:$I$11,MATCH($B181,'State Rules'!$A$5:$A$11,0)),"Yes","No"),""))</f>
        <v>No</v>
      </c>
      <c r="T181" s="8"/>
      <c r="U181" s="8"/>
      <c r="V181" s="24"/>
      <c r="W181" s="24"/>
      <c r="X181" s="24"/>
      <c r="Y181" s="8"/>
      <c r="Z181" s="10" t="n">
        <f aca="false">IF(Q181="","",IF(Q181&lt;=$B$4,N(W181)+N(X181),0))</f>
        <v>0</v>
      </c>
      <c r="AA181" s="10" t="n">
        <f aca="false">IF(OR(LEFT(N181,6)="Larger",LEFT(N181,4)="Memo"),H181,0)</f>
        <v>850</v>
      </c>
      <c r="AB181" s="12" t="str">
        <f aca="false">IFERROR(INDEX('State Rules'!$M$5:$M$11,MATCH($B181,'State Rules'!$A$5:$A$11,0)),"")</f>
        <v>LONG</v>
      </c>
      <c r="AC181" s="22" t="n">
        <f aca="false">IF(AB181="SHORT",P181,IF(AB181="LONG",Q181,""))</f>
        <v>47252</v>
      </c>
      <c r="AD181" s="11" t="str">
        <f aca="false">IF(AB181="SHORT",R181,IF(AB181="LONG",S181,""))</f>
        <v>No</v>
      </c>
    </row>
    <row r="182" customFormat="false" ht="15" hidden="false" customHeight="false" outlineLevel="0" collapsed="false">
      <c r="A182" s="11" t="s">
        <v>50</v>
      </c>
      <c r="B182" s="12" t="str">
        <f aca="false">IF(U182&lt;&gt;"",U182,IFERROR(INDEX(Summary!$B$11:$B$18,MATCH($A182,Summary!$A$11:$A$18,0)),""))</f>
        <v>FL</v>
      </c>
      <c r="C182" s="11" t="s">
        <v>50</v>
      </c>
      <c r="D182" s="11" t="n">
        <v>23</v>
      </c>
      <c r="E182" s="22" t="n">
        <v>46202</v>
      </c>
      <c r="F182" s="11"/>
      <c r="G182" s="11"/>
      <c r="H182" s="10" t="n">
        <v>350</v>
      </c>
      <c r="I182" s="11"/>
      <c r="J182" s="11" t="s">
        <v>101</v>
      </c>
      <c r="K182" s="23" t="n">
        <f aca="false">IF(E182="","",($B$4-E182)/365.25)</f>
        <v>0.271047227926078</v>
      </c>
      <c r="L182" s="11" t="str">
        <f aca="false">IF(K182="","no date",IF(K182&lt;1,"0-1 yrs",IF(K182&lt;2,"1-2 yrs",IF(K182&lt;3,"2-3 yrs",IF(K182&lt;5,"3-5 yrs","5+ yrs")))))</f>
        <v>0-1 yrs</v>
      </c>
      <c r="M182" s="11" t="s">
        <v>101</v>
      </c>
      <c r="N182" s="12" t="str">
        <f aca="false">IF(M182="Yes","Memo flag - not ours / unknown / hold: resolve",IF(OR(COUNTIF(Summary!$C$4:$R$4,H182)&gt;0,AND(A182="Philly",COUNTIF(Summary!$C$5:$R$5,H182)&gt;0),AND(A182="TUR",COUNTIF(Summary!$C$6:$R$6,H182)&gt;0),AND(A182="Leading Edge",COUNTIF(Summary!$C$7:$R$7,H182)&gt;0)),"Fee amount - presumed company revenue",IF(H182&lt;=Summary!$B$8,"Small amount - likely fee, review","Larger amount - likely includes agent commission")))</f>
        <v>Larger amount - likely includes agent commission</v>
      </c>
      <c r="O182" s="12" t="n">
        <f aca="false">IFERROR(INDEX('State Rules'!$C$5:$C$11,MATCH($B182,'State Rules'!$A$5:$A$11,0)),"")</f>
        <v>1</v>
      </c>
      <c r="P182" s="22" t="n">
        <f aca="false">IF(OR(O182="",E182=""),"",EDATE(E182,12*O182))</f>
        <v>46567</v>
      </c>
      <c r="Q182" s="22" t="n">
        <f aca="false">IF(E182="","",IFERROR(EDATE(E182,12*INDEX('State Rules'!$E$5:$E$11,MATCH($B182,'State Rules'!$A$5:$A$11,0))),""))</f>
        <v>47298</v>
      </c>
      <c r="R182" s="11" t="str">
        <f aca="false">IF(P182="","",IFERROR(IF(P182&lt;=INDEX('State Rules'!$I$5:$I$11,MATCH($B182,'State Rules'!$A$5:$A$11,0)),"Yes","No"),""))</f>
        <v>No</v>
      </c>
      <c r="S182" s="11" t="str">
        <f aca="false">IF(Q182="","",IFERROR(IF(Q182&lt;=INDEX('State Rules'!$I$5:$I$11,MATCH($B182,'State Rules'!$A$5:$A$11,0)),"Yes","No"),""))</f>
        <v>No</v>
      </c>
      <c r="T182" s="8"/>
      <c r="U182" s="8"/>
      <c r="V182" s="24"/>
      <c r="W182" s="24"/>
      <c r="X182" s="24"/>
      <c r="Y182" s="8"/>
      <c r="Z182" s="10" t="n">
        <f aca="false">IF(Q182="","",IF(Q182&lt;=$B$4,N(W182)+N(X182),0))</f>
        <v>0</v>
      </c>
      <c r="AA182" s="10" t="n">
        <f aca="false">IF(OR(LEFT(N182,6)="Larger",LEFT(N182,4)="Memo"),H182,0)</f>
        <v>350</v>
      </c>
      <c r="AB182" s="12" t="str">
        <f aca="false">IFERROR(INDEX('State Rules'!$M$5:$M$11,MATCH($B182,'State Rules'!$A$5:$A$11,0)),"")</f>
        <v>LONG</v>
      </c>
      <c r="AC182" s="22" t="n">
        <f aca="false">IF(AB182="SHORT",P182,IF(AB182="LONG",Q182,""))</f>
        <v>47298</v>
      </c>
      <c r="AD182" s="11" t="str">
        <f aca="false">IF(AB182="SHORT",R182,IF(AB182="LONG",S182,""))</f>
        <v>No</v>
      </c>
    </row>
    <row r="183" customFormat="false" ht="15" hidden="false" customHeight="false" outlineLevel="0" collapsed="false">
      <c r="A183" s="11" t="s">
        <v>50</v>
      </c>
      <c r="B183" s="12" t="str">
        <f aca="false">IF(U183&lt;&gt;"",U183,IFERROR(INDEX(Summary!$B$11:$B$18,MATCH($A183,Summary!$A$11:$A$18,0)),""))</f>
        <v>FL</v>
      </c>
      <c r="C183" s="11" t="s">
        <v>50</v>
      </c>
      <c r="D183" s="11" t="n">
        <v>24</v>
      </c>
      <c r="E183" s="22" t="n">
        <v>46248</v>
      </c>
      <c r="F183" s="11" t="s">
        <v>442</v>
      </c>
      <c r="G183" s="11"/>
      <c r="H183" s="10" t="n">
        <v>1951.11</v>
      </c>
      <c r="I183" s="11"/>
      <c r="J183" s="11" t="s">
        <v>101</v>
      </c>
      <c r="K183" s="23" t="n">
        <f aca="false">IF(E183="","",($B$4-E183)/365.25)</f>
        <v>0.145106091718001</v>
      </c>
      <c r="L183" s="11" t="str">
        <f aca="false">IF(K183="","no date",IF(K183&lt;1,"0-1 yrs",IF(K183&lt;2,"1-2 yrs",IF(K183&lt;3,"2-3 yrs",IF(K183&lt;5,"3-5 yrs","5+ yrs")))))</f>
        <v>0-1 yrs</v>
      </c>
      <c r="M183" s="11" t="s">
        <v>101</v>
      </c>
      <c r="N183" s="12" t="str">
        <f aca="false">IF(M183="Yes","Memo flag - not ours / unknown / hold: resolve",IF(OR(COUNTIF(Summary!$C$4:$R$4,H183)&gt;0,AND(A183="Philly",COUNTIF(Summary!$C$5:$R$5,H183)&gt;0),AND(A183="TUR",COUNTIF(Summary!$C$6:$R$6,H183)&gt;0),AND(A183="Leading Edge",COUNTIF(Summary!$C$7:$R$7,H183)&gt;0)),"Fee amount - presumed company revenue",IF(H183&lt;=Summary!$B$8,"Small amount - likely fee, review","Larger amount - likely includes agent commission")))</f>
        <v>Larger amount - likely includes agent commission</v>
      </c>
      <c r="O183" s="12" t="n">
        <f aca="false">IFERROR(INDEX('State Rules'!$C$5:$C$11,MATCH($B183,'State Rules'!$A$5:$A$11,0)),"")</f>
        <v>1</v>
      </c>
      <c r="P183" s="22" t="n">
        <f aca="false">IF(OR(O183="",E183=""),"",EDATE(E183,12*O183))</f>
        <v>46613</v>
      </c>
      <c r="Q183" s="22" t="n">
        <f aca="false">IF(E183="","",IFERROR(EDATE(E183,12*INDEX('State Rules'!$E$5:$E$11,MATCH($B183,'State Rules'!$A$5:$A$11,0))),""))</f>
        <v>47344</v>
      </c>
      <c r="R183" s="11" t="str">
        <f aca="false">IF(P183="","",IFERROR(IF(P183&lt;=INDEX('State Rules'!$I$5:$I$11,MATCH($B183,'State Rules'!$A$5:$A$11,0)),"Yes","No"),""))</f>
        <v>No</v>
      </c>
      <c r="S183" s="11" t="str">
        <f aca="false">IF(Q183="","",IFERROR(IF(Q183&lt;=INDEX('State Rules'!$I$5:$I$11,MATCH($B183,'State Rules'!$A$5:$A$11,0)),"Yes","No"),""))</f>
        <v>No</v>
      </c>
      <c r="T183" s="8"/>
      <c r="U183" s="8"/>
      <c r="V183" s="24"/>
      <c r="W183" s="24"/>
      <c r="X183" s="24"/>
      <c r="Y183" s="8"/>
      <c r="Z183" s="10" t="n">
        <f aca="false">IF(Q183="","",IF(Q183&lt;=$B$4,N(W183)+N(X183),0))</f>
        <v>0</v>
      </c>
      <c r="AA183" s="10" t="n">
        <f aca="false">IF(OR(LEFT(N183,6)="Larger",LEFT(N183,4)="Memo"),H183,0)</f>
        <v>1951.11</v>
      </c>
      <c r="AB183" s="12" t="str">
        <f aca="false">IFERROR(INDEX('State Rules'!$M$5:$M$11,MATCH($B183,'State Rules'!$A$5:$A$11,0)),"")</f>
        <v>LONG</v>
      </c>
      <c r="AC183" s="22" t="n">
        <f aca="false">IF(AB183="SHORT",P183,IF(AB183="LONG",Q183,""))</f>
        <v>47344</v>
      </c>
      <c r="AD183" s="11" t="str">
        <f aca="false">IF(AB183="SHORT",R183,IF(AB183="LONG",S183,""))</f>
        <v>No</v>
      </c>
    </row>
    <row r="184" customFormat="false" ht="15" hidden="false" customHeight="false" outlineLevel="0" collapsed="false">
      <c r="A184" s="11" t="s">
        <v>50</v>
      </c>
      <c r="B184" s="12" t="str">
        <f aca="false">IF(U184&lt;&gt;"",U184,IFERROR(INDEX(Summary!$B$11:$B$18,MATCH($A184,Summary!$A$11:$A$18,0)),""))</f>
        <v>FL</v>
      </c>
      <c r="C184" s="11" t="s">
        <v>50</v>
      </c>
      <c r="D184" s="11" t="n">
        <v>25</v>
      </c>
      <c r="E184" s="22" t="n">
        <v>46248</v>
      </c>
      <c r="F184" s="11" t="s">
        <v>443</v>
      </c>
      <c r="G184" s="11"/>
      <c r="H184" s="10" t="n">
        <v>850</v>
      </c>
      <c r="I184" s="11"/>
      <c r="J184" s="11" t="s">
        <v>101</v>
      </c>
      <c r="K184" s="23" t="n">
        <f aca="false">IF(E184="","",($B$4-E184)/365.25)</f>
        <v>0.145106091718001</v>
      </c>
      <c r="L184" s="11" t="str">
        <f aca="false">IF(K184="","no date",IF(K184&lt;1,"0-1 yrs",IF(K184&lt;2,"1-2 yrs",IF(K184&lt;3,"2-3 yrs",IF(K184&lt;5,"3-5 yrs","5+ yrs")))))</f>
        <v>0-1 yrs</v>
      </c>
      <c r="M184" s="11" t="s">
        <v>101</v>
      </c>
      <c r="N184" s="12" t="str">
        <f aca="false">IF(M184="Yes","Memo flag - not ours / unknown / hold: resolve",IF(OR(COUNTIF(Summary!$C$4:$R$4,H184)&gt;0,AND(A184="Philly",COUNTIF(Summary!$C$5:$R$5,H184)&gt;0),AND(A184="TUR",COUNTIF(Summary!$C$6:$R$6,H184)&gt;0),AND(A184="Leading Edge",COUNTIF(Summary!$C$7:$R$7,H184)&gt;0)),"Fee amount - presumed company revenue",IF(H184&lt;=Summary!$B$8,"Small amount - likely fee, review","Larger amount - likely includes agent commission")))</f>
        <v>Larger amount - likely includes agent commission</v>
      </c>
      <c r="O184" s="12" t="n">
        <f aca="false">IFERROR(INDEX('State Rules'!$C$5:$C$11,MATCH($B184,'State Rules'!$A$5:$A$11,0)),"")</f>
        <v>1</v>
      </c>
      <c r="P184" s="22" t="n">
        <f aca="false">IF(OR(O184="",E184=""),"",EDATE(E184,12*O184))</f>
        <v>46613</v>
      </c>
      <c r="Q184" s="22" t="n">
        <f aca="false">IF(E184="","",IFERROR(EDATE(E184,12*INDEX('State Rules'!$E$5:$E$11,MATCH($B184,'State Rules'!$A$5:$A$11,0))),""))</f>
        <v>47344</v>
      </c>
      <c r="R184" s="11" t="str">
        <f aca="false">IF(P184="","",IFERROR(IF(P184&lt;=INDEX('State Rules'!$I$5:$I$11,MATCH($B184,'State Rules'!$A$5:$A$11,0)),"Yes","No"),""))</f>
        <v>No</v>
      </c>
      <c r="S184" s="11" t="str">
        <f aca="false">IF(Q184="","",IFERROR(IF(Q184&lt;=INDEX('State Rules'!$I$5:$I$11,MATCH($B184,'State Rules'!$A$5:$A$11,0)),"Yes","No"),""))</f>
        <v>No</v>
      </c>
      <c r="T184" s="8"/>
      <c r="U184" s="8"/>
      <c r="V184" s="24"/>
      <c r="W184" s="24"/>
      <c r="X184" s="24"/>
      <c r="Y184" s="8"/>
      <c r="Z184" s="10" t="n">
        <f aca="false">IF(Q184="","",IF(Q184&lt;=$B$4,N(W184)+N(X184),0))</f>
        <v>0</v>
      </c>
      <c r="AA184" s="10" t="n">
        <f aca="false">IF(OR(LEFT(N184,6)="Larger",LEFT(N184,4)="Memo"),H184,0)</f>
        <v>850</v>
      </c>
      <c r="AB184" s="12" t="str">
        <f aca="false">IFERROR(INDEX('State Rules'!$M$5:$M$11,MATCH($B184,'State Rules'!$A$5:$A$11,0)),"")</f>
        <v>LONG</v>
      </c>
      <c r="AC184" s="22" t="n">
        <f aca="false">IF(AB184="SHORT",P184,IF(AB184="LONG",Q184,""))</f>
        <v>47344</v>
      </c>
      <c r="AD184" s="11" t="str">
        <f aca="false">IF(AB184="SHORT",R184,IF(AB184="LONG",S184,""))</f>
        <v>No</v>
      </c>
    </row>
    <row r="185" customFormat="false" ht="15" hidden="false" customHeight="false" outlineLevel="0" collapsed="false">
      <c r="A185" s="11" t="s">
        <v>53</v>
      </c>
      <c r="B185" s="12" t="str">
        <f aca="false">IF(U185&lt;&gt;"",U185,IFERROR(INDEX(Summary!$B$11:$B$18,MATCH($A185,Summary!$A$11:$A$18,0)),""))</f>
        <v>AL</v>
      </c>
      <c r="C185" s="11" t="s">
        <v>444</v>
      </c>
      <c r="D185" s="11" t="n">
        <v>23</v>
      </c>
      <c r="E185" s="22" t="n">
        <v>46113</v>
      </c>
      <c r="F185" s="11"/>
      <c r="G185" s="11"/>
      <c r="H185" s="10" t="n">
        <v>395</v>
      </c>
      <c r="I185" s="11"/>
      <c r="J185" s="11" t="s">
        <v>101</v>
      </c>
      <c r="K185" s="23" t="n">
        <f aca="false">IF(E185="","",($B$4-E185)/365.25)</f>
        <v>0.514715947980835</v>
      </c>
      <c r="L185" s="11" t="str">
        <f aca="false">IF(K185="","no date",IF(K185&lt;1,"0-1 yrs",IF(K185&lt;2,"1-2 yrs",IF(K185&lt;3,"2-3 yrs",IF(K185&lt;5,"3-5 yrs","5+ yrs")))))</f>
        <v>0-1 yrs</v>
      </c>
      <c r="M185" s="11" t="s">
        <v>101</v>
      </c>
      <c r="N185" s="12" t="str">
        <f aca="false">IF(M185="Yes","Memo flag - not ours / unknown / hold: resolve",IF(OR(COUNTIF(Summary!$C$4:$R$4,H185)&gt;0,AND(A185="Philly",COUNTIF(Summary!$C$5:$R$5,H185)&gt;0),AND(A185="TUR",COUNTIF(Summary!$C$6:$R$6,H185)&gt;0),AND(A185="Leading Edge",COUNTIF(Summary!$C$7:$R$7,H185)&gt;0)),"Fee amount - presumed company revenue",IF(H185&lt;=Summary!$B$8,"Small amount - likely fee, review","Larger amount - likely includes agent commission")))</f>
        <v>Fee amount - presumed company revenue</v>
      </c>
      <c r="O185" s="12" t="n">
        <f aca="false">IFERROR(INDEX('State Rules'!$C$5:$C$11,MATCH($B185,'State Rules'!$A$5:$A$11,0)),"")</f>
        <v>1</v>
      </c>
      <c r="P185" s="22" t="n">
        <f aca="false">IF(OR(O185="",E185=""),"",EDATE(E185,12*O185))</f>
        <v>46478</v>
      </c>
      <c r="Q185" s="22" t="n">
        <f aca="false">IF(E185="","",IFERROR(EDATE(E185,12*INDEX('State Rules'!$E$5:$E$11,MATCH($B185,'State Rules'!$A$5:$A$11,0))),""))</f>
        <v>47209</v>
      </c>
      <c r="R185" s="11" t="str">
        <f aca="false">IF(P185="","",IFERROR(IF(P185&lt;=INDEX('State Rules'!$I$5:$I$11,MATCH($B185,'State Rules'!$A$5:$A$11,0)),"Yes","No"),""))</f>
        <v>Yes</v>
      </c>
      <c r="S185" s="11" t="str">
        <f aca="false">IF(Q185="","",IFERROR(IF(Q185&lt;=INDEX('State Rules'!$I$5:$I$11,MATCH($B185,'State Rules'!$A$5:$A$11,0)),"Yes","No"),""))</f>
        <v>No</v>
      </c>
      <c r="T185" s="8"/>
      <c r="U185" s="8"/>
      <c r="V185" s="24"/>
      <c r="W185" s="24"/>
      <c r="X185" s="24"/>
      <c r="Y185" s="8"/>
      <c r="Z185" s="10" t="n">
        <f aca="false">IF(Q185="","",IF(Q185&lt;=$B$4,N(W185)+N(X185),0))</f>
        <v>0</v>
      </c>
      <c r="AA185" s="10" t="n">
        <f aca="false">IF(OR(LEFT(N185,6)="Larger",LEFT(N185,4)="Memo"),H185,0)</f>
        <v>0</v>
      </c>
      <c r="AB185" s="12" t="str">
        <f aca="false">IFERROR(INDEX('State Rules'!$M$5:$M$11,MATCH($B185,'State Rules'!$A$5:$A$11,0)),"")</f>
        <v>SHORT</v>
      </c>
      <c r="AC185" s="22" t="n">
        <f aca="false">IF(AB185="SHORT",P185,IF(AB185="LONG",Q185,""))</f>
        <v>46478</v>
      </c>
      <c r="AD185" s="11" t="str">
        <f aca="false">IF(AB185="SHORT",R185,IF(AB185="LONG",S185,""))</f>
        <v>Yes</v>
      </c>
    </row>
    <row r="186" customFormat="false" ht="15" hidden="false" customHeight="false" outlineLevel="0" collapsed="false">
      <c r="A186" s="11" t="s">
        <v>53</v>
      </c>
      <c r="B186" s="12" t="str">
        <f aca="false">IF(U186&lt;&gt;"",U186,IFERROR(INDEX(Summary!$B$11:$B$18,MATCH($A186,Summary!$A$11:$A$18,0)),""))</f>
        <v>AL</v>
      </c>
      <c r="C186" s="11" t="s">
        <v>445</v>
      </c>
      <c r="D186" s="11" t="n">
        <v>24</v>
      </c>
      <c r="E186" s="22" t="n">
        <v>46178</v>
      </c>
      <c r="F186" s="11"/>
      <c r="G186" s="11"/>
      <c r="H186" s="10" t="n">
        <v>150</v>
      </c>
      <c r="I186" s="11"/>
      <c r="J186" s="11" t="s">
        <v>101</v>
      </c>
      <c r="K186" s="23" t="n">
        <f aca="false">IF(E186="","",($B$4-E186)/365.25)</f>
        <v>0.336755646817248</v>
      </c>
      <c r="L186" s="11" t="str">
        <f aca="false">IF(K186="","no date",IF(K186&lt;1,"0-1 yrs",IF(K186&lt;2,"1-2 yrs",IF(K186&lt;3,"2-3 yrs",IF(K186&lt;5,"3-5 yrs","5+ yrs")))))</f>
        <v>0-1 yrs</v>
      </c>
      <c r="M186" s="11" t="s">
        <v>101</v>
      </c>
      <c r="N186" s="12" t="str">
        <f aca="false">IF(M186="Yes","Memo flag - not ours / unknown / hold: resolve",IF(OR(COUNTIF(Summary!$C$4:$R$4,H186)&gt;0,AND(A186="Philly",COUNTIF(Summary!$C$5:$R$5,H186)&gt;0),AND(A186="TUR",COUNTIF(Summary!$C$6:$R$6,H186)&gt;0),AND(A186="Leading Edge",COUNTIF(Summary!$C$7:$R$7,H186)&gt;0)),"Fee amount - presumed company revenue",IF(H186&lt;=Summary!$B$8,"Small amount - likely fee, review","Larger amount - likely includes agent commission")))</f>
        <v>Fee amount - presumed company revenue</v>
      </c>
      <c r="O186" s="12" t="n">
        <f aca="false">IFERROR(INDEX('State Rules'!$C$5:$C$11,MATCH($B186,'State Rules'!$A$5:$A$11,0)),"")</f>
        <v>1</v>
      </c>
      <c r="P186" s="22" t="n">
        <f aca="false">IF(OR(O186="",E186=""),"",EDATE(E186,12*O186))</f>
        <v>46543</v>
      </c>
      <c r="Q186" s="22" t="n">
        <f aca="false">IF(E186="","",IFERROR(EDATE(E186,12*INDEX('State Rules'!$E$5:$E$11,MATCH($B186,'State Rules'!$A$5:$A$11,0))),""))</f>
        <v>47274</v>
      </c>
      <c r="R186" s="11" t="str">
        <f aca="false">IF(P186="","",IFERROR(IF(P186&lt;=INDEX('State Rules'!$I$5:$I$11,MATCH($B186,'State Rules'!$A$5:$A$11,0)),"Yes","No"),""))</f>
        <v>Yes</v>
      </c>
      <c r="S186" s="11" t="str">
        <f aca="false">IF(Q186="","",IFERROR(IF(Q186&lt;=INDEX('State Rules'!$I$5:$I$11,MATCH($B186,'State Rules'!$A$5:$A$11,0)),"Yes","No"),""))</f>
        <v>No</v>
      </c>
      <c r="T186" s="8"/>
      <c r="U186" s="8"/>
      <c r="V186" s="24"/>
      <c r="W186" s="24"/>
      <c r="X186" s="24"/>
      <c r="Y186" s="8"/>
      <c r="Z186" s="10" t="n">
        <f aca="false">IF(Q186="","",IF(Q186&lt;=$B$4,N(W186)+N(X186),0))</f>
        <v>0</v>
      </c>
      <c r="AA186" s="10" t="n">
        <f aca="false">IF(OR(LEFT(N186,6)="Larger",LEFT(N186,4)="Memo"),H186,0)</f>
        <v>0</v>
      </c>
      <c r="AB186" s="12" t="str">
        <f aca="false">IFERROR(INDEX('State Rules'!$M$5:$M$11,MATCH($B186,'State Rules'!$A$5:$A$11,0)),"")</f>
        <v>SHORT</v>
      </c>
      <c r="AC186" s="22" t="n">
        <f aca="false">IF(AB186="SHORT",P186,IF(AB186="LONG",Q186,""))</f>
        <v>46543</v>
      </c>
      <c r="AD186" s="11" t="str">
        <f aca="false">IF(AB186="SHORT",R186,IF(AB186="LONG",S186,""))</f>
        <v>Yes</v>
      </c>
    </row>
    <row r="187" customFormat="false" ht="15" hidden="false" customHeight="false" outlineLevel="0" collapsed="false">
      <c r="A187" s="11" t="s">
        <v>53</v>
      </c>
      <c r="B187" s="12" t="str">
        <f aca="false">IF(U187&lt;&gt;"",U187,IFERROR(INDEX(Summary!$B$11:$B$18,MATCH($A187,Summary!$A$11:$A$18,0)),""))</f>
        <v>AL</v>
      </c>
      <c r="C187" s="11" t="s">
        <v>445</v>
      </c>
      <c r="D187" s="11" t="n">
        <v>27</v>
      </c>
      <c r="E187" s="22" t="n">
        <v>46233</v>
      </c>
      <c r="F187" s="11" t="s">
        <v>446</v>
      </c>
      <c r="G187" s="11"/>
      <c r="H187" s="10" t="n">
        <v>100</v>
      </c>
      <c r="I187" s="11"/>
      <c r="J187" s="11" t="s">
        <v>101</v>
      </c>
      <c r="K187" s="23" t="n">
        <f aca="false">IF(E187="","",($B$4-E187)/365.25)</f>
        <v>0.186173853524983</v>
      </c>
      <c r="L187" s="11" t="str">
        <f aca="false">IF(K187="","no date",IF(K187&lt;1,"0-1 yrs",IF(K187&lt;2,"1-2 yrs",IF(K187&lt;3,"2-3 yrs",IF(K187&lt;5,"3-5 yrs","5+ yrs")))))</f>
        <v>0-1 yrs</v>
      </c>
      <c r="M187" s="11" t="s">
        <v>101</v>
      </c>
      <c r="N187" s="12" t="str">
        <f aca="false">IF(M187="Yes","Memo flag - not ours / unknown / hold: resolve",IF(OR(COUNTIF(Summary!$C$4:$R$4,H187)&gt;0,AND(A187="Philly",COUNTIF(Summary!$C$5:$R$5,H187)&gt;0),AND(A187="TUR",COUNTIF(Summary!$C$6:$R$6,H187)&gt;0),AND(A187="Leading Edge",COUNTIF(Summary!$C$7:$R$7,H187)&gt;0)),"Fee amount - presumed company revenue",IF(H187&lt;=Summary!$B$8,"Small amount - likely fee, review","Larger amount - likely includes agent commission")))</f>
        <v>Fee amount - presumed company revenue</v>
      </c>
      <c r="O187" s="12" t="n">
        <f aca="false">IFERROR(INDEX('State Rules'!$C$5:$C$11,MATCH($B187,'State Rules'!$A$5:$A$11,0)),"")</f>
        <v>1</v>
      </c>
      <c r="P187" s="22" t="n">
        <f aca="false">IF(OR(O187="",E187=""),"",EDATE(E187,12*O187))</f>
        <v>46598</v>
      </c>
      <c r="Q187" s="22" t="n">
        <f aca="false">IF(E187="","",IFERROR(EDATE(E187,12*INDEX('State Rules'!$E$5:$E$11,MATCH($B187,'State Rules'!$A$5:$A$11,0))),""))</f>
        <v>47329</v>
      </c>
      <c r="R187" s="11" t="str">
        <f aca="false">IF(P187="","",IFERROR(IF(P187&lt;=INDEX('State Rules'!$I$5:$I$11,MATCH($B187,'State Rules'!$A$5:$A$11,0)),"Yes","No"),""))</f>
        <v>No</v>
      </c>
      <c r="S187" s="11" t="str">
        <f aca="false">IF(Q187="","",IFERROR(IF(Q187&lt;=INDEX('State Rules'!$I$5:$I$11,MATCH($B187,'State Rules'!$A$5:$A$11,0)),"Yes","No"),""))</f>
        <v>No</v>
      </c>
      <c r="T187" s="8"/>
      <c r="U187" s="8"/>
      <c r="V187" s="24"/>
      <c r="W187" s="24"/>
      <c r="X187" s="24"/>
      <c r="Y187" s="8"/>
      <c r="Z187" s="10" t="n">
        <f aca="false">IF(Q187="","",IF(Q187&lt;=$B$4,N(W187)+N(X187),0))</f>
        <v>0</v>
      </c>
      <c r="AA187" s="10" t="n">
        <f aca="false">IF(OR(LEFT(N187,6)="Larger",LEFT(N187,4)="Memo"),H187,0)</f>
        <v>0</v>
      </c>
      <c r="AB187" s="12" t="str">
        <f aca="false">IFERROR(INDEX('State Rules'!$M$5:$M$11,MATCH($B187,'State Rules'!$A$5:$A$11,0)),"")</f>
        <v>SHORT</v>
      </c>
      <c r="AC187" s="22" t="n">
        <f aca="false">IF(AB187="SHORT",P187,IF(AB187="LONG",Q187,""))</f>
        <v>46598</v>
      </c>
      <c r="AD187" s="11" t="str">
        <f aca="false">IF(AB187="SHORT",R187,IF(AB187="LONG",S187,""))</f>
        <v>No</v>
      </c>
    </row>
    <row r="188" customFormat="false" ht="15" hidden="false" customHeight="false" outlineLevel="0" collapsed="false">
      <c r="A188" s="3" t="s">
        <v>58</v>
      </c>
      <c r="H188" s="26" t="n">
        <f aca="false">SUM(H7:H187)</f>
        <v>226764.46</v>
      </c>
      <c r="V188" s="26" t="n">
        <f aca="false">SUM(V7:V187)</f>
        <v>0</v>
      </c>
      <c r="W188" s="26" t="n">
        <f aca="false">SUM(W7:W187)</f>
        <v>0</v>
      </c>
      <c r="X188" s="26" t="n">
        <f aca="false">SUM(X7:X187)</f>
        <v>0</v>
      </c>
      <c r="Z188" s="26" t="n">
        <f aca="false">SUM(Z7:Z187)</f>
        <v>0</v>
      </c>
      <c r="AA188" s="26" t="n">
        <f aca="false">SUM(AA7:AA187)</f>
        <v>203881.13</v>
      </c>
    </row>
  </sheetData>
  <autoFilter ref="A6:AD187"/>
  <mergeCells count="2">
    <mergeCell ref="A2:AD2"/>
    <mergeCell ref="A3:A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
    <col collapsed="false" customWidth="true" hidden="false" outlineLevel="0" max="4" min="4" style="0" width="12"/>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447</v>
      </c>
    </row>
    <row r="2" customFormat="false" ht="23.85" hidden="false" customHeight="true" outlineLevel="0" collapsed="false">
      <c r="A2" s="2" t="s">
        <v>448</v>
      </c>
      <c r="B2" s="2"/>
      <c r="C2" s="2"/>
      <c r="D2" s="2"/>
      <c r="E2" s="2"/>
      <c r="F2" s="2"/>
      <c r="G2" s="2"/>
    </row>
    <row r="4" customFormat="false" ht="42" hidden="false" customHeight="true" outlineLevel="0" collapsed="false">
      <c r="A4" s="6" t="s">
        <v>8</v>
      </c>
      <c r="B4" s="6" t="s">
        <v>71</v>
      </c>
      <c r="C4" s="6" t="s">
        <v>72</v>
      </c>
      <c r="D4" s="6" t="s">
        <v>73</v>
      </c>
      <c r="E4" s="6" t="s">
        <v>74</v>
      </c>
      <c r="F4" s="6" t="s">
        <v>76</v>
      </c>
    </row>
    <row r="5" customFormat="false" ht="15" hidden="false" customHeight="false" outlineLevel="0" collapsed="false">
      <c r="A5" s="11" t="s">
        <v>37</v>
      </c>
      <c r="B5" s="11" t="s">
        <v>37</v>
      </c>
      <c r="C5" s="11" t="n">
        <v>111</v>
      </c>
      <c r="D5" s="22" t="n">
        <v>46281</v>
      </c>
      <c r="E5" s="11" t="s">
        <v>449</v>
      </c>
      <c r="F5" s="10" t="n">
        <v>124</v>
      </c>
    </row>
    <row r="6" customFormat="false" ht="15" hidden="false" customHeight="false" outlineLevel="0" collapsed="false">
      <c r="A6" s="11" t="s">
        <v>37</v>
      </c>
      <c r="B6" s="11" t="s">
        <v>37</v>
      </c>
      <c r="C6" s="11" t="n">
        <v>137</v>
      </c>
      <c r="D6" s="22" t="n">
        <v>46286</v>
      </c>
      <c r="E6" s="11" t="s">
        <v>450</v>
      </c>
      <c r="F6" s="10" t="n">
        <v>625</v>
      </c>
    </row>
    <row r="7" customFormat="false" ht="15" hidden="false" customHeight="false" outlineLevel="0" collapsed="false">
      <c r="A7" s="11" t="s">
        <v>37</v>
      </c>
      <c r="B7" s="11" t="s">
        <v>37</v>
      </c>
      <c r="C7" s="11" t="n">
        <v>143</v>
      </c>
      <c r="D7" s="22" t="n">
        <v>46286</v>
      </c>
      <c r="E7" s="11" t="s">
        <v>451</v>
      </c>
      <c r="F7" s="10" t="n">
        <v>748.5</v>
      </c>
    </row>
    <row r="8" customFormat="false" ht="15" hidden="false" customHeight="false" outlineLevel="0" collapsed="false">
      <c r="A8" s="11" t="s">
        <v>37</v>
      </c>
      <c r="B8" s="11" t="s">
        <v>37</v>
      </c>
      <c r="C8" s="11" t="n">
        <v>155</v>
      </c>
      <c r="D8" s="22" t="n">
        <v>46286</v>
      </c>
      <c r="E8" s="11" t="s">
        <v>452</v>
      </c>
      <c r="F8" s="10" t="n">
        <v>2599</v>
      </c>
    </row>
    <row r="9" customFormat="false" ht="15" hidden="false" customHeight="false" outlineLevel="0" collapsed="false">
      <c r="A9" s="11" t="s">
        <v>37</v>
      </c>
      <c r="B9" s="11" t="s">
        <v>37</v>
      </c>
      <c r="C9" s="11" t="n">
        <v>165</v>
      </c>
      <c r="D9" s="22" t="n">
        <v>46288</v>
      </c>
      <c r="E9" s="11" t="s">
        <v>453</v>
      </c>
      <c r="F9" s="10" t="n">
        <v>500</v>
      </c>
    </row>
    <row r="10" customFormat="false" ht="15" hidden="false" customHeight="false" outlineLevel="0" collapsed="false">
      <c r="A10" s="11" t="s">
        <v>37</v>
      </c>
      <c r="B10" s="11" t="s">
        <v>37</v>
      </c>
      <c r="C10" s="11" t="n">
        <v>172</v>
      </c>
      <c r="D10" s="22" t="n">
        <v>46289</v>
      </c>
      <c r="E10" s="11" t="s">
        <v>454</v>
      </c>
      <c r="F10" s="10" t="n">
        <v>2300</v>
      </c>
    </row>
    <row r="11" customFormat="false" ht="15" hidden="false" customHeight="false" outlineLevel="0" collapsed="false">
      <c r="A11" s="11" t="s">
        <v>37</v>
      </c>
      <c r="B11" s="11" t="s">
        <v>37</v>
      </c>
      <c r="C11" s="11" t="n">
        <v>220</v>
      </c>
      <c r="D11" s="22" t="n">
        <v>46297</v>
      </c>
      <c r="E11" s="11" t="s">
        <v>455</v>
      </c>
      <c r="F11" s="10" t="n">
        <v>644</v>
      </c>
    </row>
    <row r="12" customFormat="false" ht="15" hidden="false" customHeight="false" outlineLevel="0" collapsed="false">
      <c r="A12" s="11" t="s">
        <v>37</v>
      </c>
      <c r="B12" s="11" t="s">
        <v>37</v>
      </c>
      <c r="C12" s="11" t="n">
        <v>229</v>
      </c>
      <c r="D12" s="22" t="n">
        <v>46300</v>
      </c>
      <c r="E12" s="11" t="s">
        <v>456</v>
      </c>
      <c r="F12" s="10" t="n">
        <v>644</v>
      </c>
    </row>
    <row r="13" customFormat="false" ht="15" hidden="false" customHeight="false" outlineLevel="0" collapsed="false">
      <c r="A13" s="11" t="s">
        <v>37</v>
      </c>
      <c r="B13" s="11" t="s">
        <v>37</v>
      </c>
      <c r="C13" s="11" t="n">
        <v>230</v>
      </c>
      <c r="D13" s="22" t="n">
        <v>46300</v>
      </c>
      <c r="E13" s="11" t="s">
        <v>457</v>
      </c>
      <c r="F13" s="10" t="n">
        <v>644</v>
      </c>
    </row>
    <row r="14" customFormat="false" ht="15" hidden="false" customHeight="false" outlineLevel="0" collapsed="false">
      <c r="A14" s="11" t="s">
        <v>37</v>
      </c>
      <c r="B14" s="11" t="s">
        <v>37</v>
      </c>
      <c r="C14" s="11" t="n">
        <v>231</v>
      </c>
      <c r="D14" s="22" t="n">
        <v>46300</v>
      </c>
      <c r="E14" s="11" t="s">
        <v>458</v>
      </c>
      <c r="F14" s="10" t="n">
        <v>644</v>
      </c>
    </row>
    <row r="15" customFormat="false" ht="15" hidden="false" customHeight="false" outlineLevel="0" collapsed="false">
      <c r="A15" s="11" t="s">
        <v>37</v>
      </c>
      <c r="B15" s="11" t="s">
        <v>37</v>
      </c>
      <c r="C15" s="11" t="n">
        <v>232</v>
      </c>
      <c r="D15" s="22" t="n">
        <v>46300</v>
      </c>
      <c r="E15" s="11" t="s">
        <v>459</v>
      </c>
      <c r="F15" s="10" t="n">
        <v>644</v>
      </c>
    </row>
    <row r="16" customFormat="false" ht="15" hidden="false" customHeight="false" outlineLevel="0" collapsed="false">
      <c r="A16" s="11" t="s">
        <v>37</v>
      </c>
      <c r="B16" s="11" t="s">
        <v>37</v>
      </c>
      <c r="C16" s="11" t="n">
        <v>233</v>
      </c>
      <c r="D16" s="22" t="n">
        <v>46300</v>
      </c>
      <c r="E16" s="11" t="s">
        <v>460</v>
      </c>
      <c r="F16" s="10" t="n">
        <v>780</v>
      </c>
    </row>
    <row r="17" customFormat="false" ht="15" hidden="false" customHeight="false" outlineLevel="0" collapsed="false">
      <c r="A17" s="11" t="s">
        <v>37</v>
      </c>
      <c r="B17" s="11" t="s">
        <v>37</v>
      </c>
      <c r="C17" s="11" t="n">
        <v>234</v>
      </c>
      <c r="D17" s="22" t="n">
        <v>46300</v>
      </c>
      <c r="E17" s="11" t="s">
        <v>461</v>
      </c>
      <c r="F17" s="10" t="n">
        <v>1002.37</v>
      </c>
    </row>
    <row r="18" customFormat="false" ht="15" hidden="false" customHeight="false" outlineLevel="0" collapsed="false">
      <c r="A18" s="11" t="s">
        <v>37</v>
      </c>
      <c r="B18" s="11" t="s">
        <v>37</v>
      </c>
      <c r="C18" s="11" t="n">
        <v>235</v>
      </c>
      <c r="D18" s="22" t="n">
        <v>46300</v>
      </c>
      <c r="E18" s="11" t="s">
        <v>462</v>
      </c>
      <c r="F18" s="10" t="n">
        <v>1600</v>
      </c>
    </row>
    <row r="19" customFormat="false" ht="15" hidden="false" customHeight="false" outlineLevel="0" collapsed="false">
      <c r="A19" s="11" t="s">
        <v>37</v>
      </c>
      <c r="B19" s="11" t="s">
        <v>37</v>
      </c>
      <c r="C19" s="11" t="n">
        <v>236</v>
      </c>
      <c r="D19" s="22" t="n">
        <v>46300</v>
      </c>
      <c r="E19" s="11" t="s">
        <v>463</v>
      </c>
      <c r="F19" s="10" t="n">
        <v>2088</v>
      </c>
    </row>
    <row r="20" customFormat="false" ht="15" hidden="false" customHeight="false" outlineLevel="0" collapsed="false">
      <c r="A20" s="11" t="s">
        <v>44</v>
      </c>
      <c r="B20" s="11" t="s">
        <v>464</v>
      </c>
      <c r="C20" s="11" t="n">
        <v>53</v>
      </c>
      <c r="D20" s="22" t="n">
        <v>46297</v>
      </c>
      <c r="E20" s="11" t="s">
        <v>465</v>
      </c>
      <c r="F20" s="10" t="n">
        <v>4400</v>
      </c>
    </row>
    <row r="21" customFormat="false" ht="15" hidden="false" customHeight="false" outlineLevel="0" collapsed="false">
      <c r="A21" s="11" t="s">
        <v>44</v>
      </c>
      <c r="B21" s="11" t="s">
        <v>464</v>
      </c>
      <c r="C21" s="11" t="n">
        <v>57</v>
      </c>
      <c r="D21" s="22" t="n">
        <v>46300</v>
      </c>
      <c r="E21" s="11" t="s">
        <v>466</v>
      </c>
      <c r="F21" s="10" t="n">
        <v>700</v>
      </c>
    </row>
    <row r="22" customFormat="false" ht="15" hidden="false" customHeight="false" outlineLevel="0" collapsed="false">
      <c r="A22" s="11" t="s">
        <v>44</v>
      </c>
      <c r="B22" s="11" t="s">
        <v>467</v>
      </c>
      <c r="C22" s="11" t="n">
        <v>38</v>
      </c>
      <c r="D22" s="22" t="n">
        <v>46296</v>
      </c>
      <c r="E22" s="11"/>
      <c r="F22" s="10" t="n">
        <v>250</v>
      </c>
    </row>
    <row r="23" customFormat="false" ht="15" hidden="false" customHeight="false" outlineLevel="0" collapsed="false">
      <c r="A23" s="11" t="s">
        <v>44</v>
      </c>
      <c r="B23" s="11" t="s">
        <v>467</v>
      </c>
      <c r="C23" s="11" t="n">
        <v>39</v>
      </c>
      <c r="D23" s="22" t="n">
        <v>46300</v>
      </c>
      <c r="E23" s="11"/>
      <c r="F23" s="10" t="n">
        <v>12995</v>
      </c>
    </row>
    <row r="24" customFormat="false" ht="15" hidden="false" customHeight="false" outlineLevel="0" collapsed="false">
      <c r="A24" s="11" t="s">
        <v>40</v>
      </c>
      <c r="B24" s="11" t="s">
        <v>40</v>
      </c>
      <c r="C24" s="11" t="n">
        <v>85</v>
      </c>
      <c r="D24" s="22" t="n">
        <v>46286</v>
      </c>
      <c r="E24" s="11" t="s">
        <v>468</v>
      </c>
      <c r="F24" s="10" t="n">
        <v>1175</v>
      </c>
    </row>
    <row r="25" customFormat="false" ht="15" hidden="false" customHeight="false" outlineLevel="0" collapsed="false">
      <c r="A25" s="11" t="s">
        <v>40</v>
      </c>
      <c r="B25" s="11" t="s">
        <v>40</v>
      </c>
      <c r="C25" s="11" t="n">
        <v>100</v>
      </c>
      <c r="D25" s="22" t="n">
        <v>46293</v>
      </c>
      <c r="E25" s="11" t="s">
        <v>469</v>
      </c>
      <c r="F25" s="10" t="n">
        <v>178.6</v>
      </c>
    </row>
    <row r="26" customFormat="false" ht="15" hidden="false" customHeight="false" outlineLevel="0" collapsed="false">
      <c r="A26" s="11" t="s">
        <v>40</v>
      </c>
      <c r="B26" s="11" t="s">
        <v>40</v>
      </c>
      <c r="C26" s="11" t="n">
        <v>102</v>
      </c>
      <c r="D26" s="22" t="n">
        <v>46293</v>
      </c>
      <c r="E26" s="11" t="s">
        <v>470</v>
      </c>
      <c r="F26" s="10" t="n">
        <v>295</v>
      </c>
    </row>
    <row r="27" customFormat="false" ht="15" hidden="false" customHeight="false" outlineLevel="0" collapsed="false">
      <c r="A27" s="11" t="s">
        <v>40</v>
      </c>
      <c r="B27" s="11" t="s">
        <v>40</v>
      </c>
      <c r="C27" s="11" t="n">
        <v>109</v>
      </c>
      <c r="D27" s="22" t="n">
        <v>46294</v>
      </c>
      <c r="E27" s="11" t="s">
        <v>471</v>
      </c>
      <c r="F27" s="10" t="n">
        <v>250</v>
      </c>
    </row>
    <row r="28" customFormat="false" ht="15" hidden="false" customHeight="false" outlineLevel="0" collapsed="false">
      <c r="A28" s="11" t="s">
        <v>40</v>
      </c>
      <c r="B28" s="11" t="s">
        <v>40</v>
      </c>
      <c r="C28" s="11" t="n">
        <v>119</v>
      </c>
      <c r="D28" s="22" t="n">
        <v>46297</v>
      </c>
      <c r="E28" s="11" t="s">
        <v>472</v>
      </c>
      <c r="F28" s="10" t="n">
        <v>1950</v>
      </c>
    </row>
    <row r="29" customFormat="false" ht="15" hidden="false" customHeight="false" outlineLevel="0" collapsed="false">
      <c r="A29" s="11" t="s">
        <v>40</v>
      </c>
      <c r="B29" s="11" t="s">
        <v>40</v>
      </c>
      <c r="C29" s="11" t="n">
        <v>121</v>
      </c>
      <c r="D29" s="22" t="n">
        <v>46300</v>
      </c>
      <c r="E29" s="11" t="s">
        <v>473</v>
      </c>
      <c r="F29" s="10" t="n">
        <v>40</v>
      </c>
    </row>
    <row r="30" customFormat="false" ht="15" hidden="false" customHeight="false" outlineLevel="0" collapsed="false">
      <c r="A30" s="11" t="s">
        <v>40</v>
      </c>
      <c r="B30" s="11" t="s">
        <v>40</v>
      </c>
      <c r="C30" s="11" t="n">
        <v>122</v>
      </c>
      <c r="D30" s="22" t="n">
        <v>46300</v>
      </c>
      <c r="E30" s="11" t="s">
        <v>474</v>
      </c>
      <c r="F30" s="10" t="n">
        <v>644</v>
      </c>
    </row>
    <row r="31" customFormat="false" ht="15" hidden="false" customHeight="false" outlineLevel="0" collapsed="false">
      <c r="A31" s="11" t="s">
        <v>40</v>
      </c>
      <c r="B31" s="11" t="s">
        <v>40</v>
      </c>
      <c r="C31" s="11" t="n">
        <v>123</v>
      </c>
      <c r="D31" s="22" t="n">
        <v>46300</v>
      </c>
      <c r="E31" s="11" t="s">
        <v>475</v>
      </c>
      <c r="F31" s="10" t="n">
        <v>644</v>
      </c>
    </row>
    <row r="32" customFormat="false" ht="15" hidden="false" customHeight="false" outlineLevel="0" collapsed="false">
      <c r="A32" s="11" t="s">
        <v>40</v>
      </c>
      <c r="B32" s="11" t="s">
        <v>40</v>
      </c>
      <c r="C32" s="11" t="n">
        <v>124</v>
      </c>
      <c r="D32" s="22" t="n">
        <v>46300</v>
      </c>
      <c r="E32" s="11" t="s">
        <v>476</v>
      </c>
      <c r="F32" s="10" t="n">
        <v>1194.5</v>
      </c>
    </row>
    <row r="33" customFormat="false" ht="15" hidden="false" customHeight="false" outlineLevel="0" collapsed="false">
      <c r="A33" s="11" t="s">
        <v>40</v>
      </c>
      <c r="B33" s="11" t="s">
        <v>40</v>
      </c>
      <c r="C33" s="11" t="n">
        <v>125</v>
      </c>
      <c r="D33" s="22" t="n">
        <v>46300</v>
      </c>
      <c r="E33" s="11" t="s">
        <v>477</v>
      </c>
      <c r="F33" s="10" t="n">
        <v>1750</v>
      </c>
    </row>
    <row r="34" customFormat="false" ht="15" hidden="false" customHeight="false" outlineLevel="0" collapsed="false">
      <c r="A34" s="11" t="s">
        <v>40</v>
      </c>
      <c r="B34" s="11" t="s">
        <v>40</v>
      </c>
      <c r="C34" s="11" t="n">
        <v>126</v>
      </c>
      <c r="D34" s="22" t="n">
        <v>46300</v>
      </c>
      <c r="E34" s="11" t="s">
        <v>478</v>
      </c>
      <c r="F34" s="10" t="n">
        <v>1950.83</v>
      </c>
    </row>
    <row r="35" customFormat="false" ht="15" hidden="false" customHeight="false" outlineLevel="0" collapsed="false">
      <c r="A35" s="11" t="s">
        <v>47</v>
      </c>
      <c r="B35" s="11" t="s">
        <v>464</v>
      </c>
      <c r="C35" s="11" t="n">
        <v>40</v>
      </c>
      <c r="D35" s="22" t="n">
        <v>46281</v>
      </c>
      <c r="E35" s="11" t="s">
        <v>479</v>
      </c>
      <c r="F35" s="10" t="n">
        <v>35</v>
      </c>
    </row>
    <row r="36" customFormat="false" ht="15" hidden="false" customHeight="false" outlineLevel="0" collapsed="false">
      <c r="A36" s="11" t="s">
        <v>47</v>
      </c>
      <c r="B36" s="11" t="s">
        <v>464</v>
      </c>
      <c r="C36" s="11" t="n">
        <v>60</v>
      </c>
      <c r="D36" s="22" t="n">
        <v>46289</v>
      </c>
      <c r="E36" s="11" t="s">
        <v>439</v>
      </c>
      <c r="F36" s="10" t="n">
        <v>11375</v>
      </c>
    </row>
    <row r="37" customFormat="false" ht="15" hidden="false" customHeight="false" outlineLevel="0" collapsed="false">
      <c r="A37" s="11" t="s">
        <v>47</v>
      </c>
      <c r="B37" s="11" t="s">
        <v>464</v>
      </c>
      <c r="C37" s="11" t="n">
        <v>61</v>
      </c>
      <c r="D37" s="22" t="n">
        <v>46290</v>
      </c>
      <c r="E37" s="11" t="s">
        <v>480</v>
      </c>
      <c r="F37" s="10" t="n">
        <v>1800</v>
      </c>
    </row>
    <row r="38" customFormat="false" ht="15" hidden="false" customHeight="false" outlineLevel="0" collapsed="false">
      <c r="A38" s="11" t="s">
        <v>47</v>
      </c>
      <c r="B38" s="11" t="s">
        <v>464</v>
      </c>
      <c r="C38" s="11" t="n">
        <v>66</v>
      </c>
      <c r="D38" s="22" t="n">
        <v>46294</v>
      </c>
      <c r="E38" s="11" t="s">
        <v>439</v>
      </c>
      <c r="F38" s="10" t="n">
        <v>125</v>
      </c>
    </row>
    <row r="39" customFormat="false" ht="15" hidden="false" customHeight="false" outlineLevel="0" collapsed="false">
      <c r="A39" s="11" t="s">
        <v>47</v>
      </c>
      <c r="B39" s="11" t="s">
        <v>464</v>
      </c>
      <c r="C39" s="11" t="n">
        <v>71</v>
      </c>
      <c r="D39" s="22" t="n">
        <v>46295</v>
      </c>
      <c r="E39" s="11" t="s">
        <v>481</v>
      </c>
      <c r="F39" s="10" t="n">
        <v>644</v>
      </c>
    </row>
    <row r="40" customFormat="false" ht="15" hidden="false" customHeight="false" outlineLevel="0" collapsed="false">
      <c r="A40" s="11" t="s">
        <v>47</v>
      </c>
      <c r="B40" s="11" t="s">
        <v>464</v>
      </c>
      <c r="C40" s="11" t="n">
        <v>72</v>
      </c>
      <c r="D40" s="22" t="n">
        <v>46295</v>
      </c>
      <c r="E40" s="11" t="s">
        <v>482</v>
      </c>
      <c r="F40" s="10" t="n">
        <v>2512.5</v>
      </c>
    </row>
    <row r="41" customFormat="false" ht="15" hidden="false" customHeight="false" outlineLevel="0" collapsed="false">
      <c r="A41" s="11" t="s">
        <v>47</v>
      </c>
      <c r="B41" s="11" t="s">
        <v>464</v>
      </c>
      <c r="C41" s="11" t="n">
        <v>73</v>
      </c>
      <c r="D41" s="22" t="n">
        <v>46296</v>
      </c>
      <c r="E41" s="11" t="s">
        <v>439</v>
      </c>
      <c r="F41" s="10" t="n">
        <v>3295</v>
      </c>
    </row>
    <row r="42" customFormat="false" ht="15" hidden="false" customHeight="false" outlineLevel="0" collapsed="false">
      <c r="A42" s="11" t="s">
        <v>47</v>
      </c>
      <c r="B42" s="11" t="s">
        <v>464</v>
      </c>
      <c r="C42" s="11" t="n">
        <v>76</v>
      </c>
      <c r="D42" s="22" t="n">
        <v>46297</v>
      </c>
      <c r="E42" s="11" t="s">
        <v>439</v>
      </c>
      <c r="F42" s="10" t="n">
        <v>5055</v>
      </c>
    </row>
    <row r="43" customFormat="false" ht="15" hidden="false" customHeight="false" outlineLevel="0" collapsed="false">
      <c r="A43" s="11" t="s">
        <v>47</v>
      </c>
      <c r="B43" s="11" t="s">
        <v>464</v>
      </c>
      <c r="C43" s="11" t="n">
        <v>77</v>
      </c>
      <c r="D43" s="22" t="n">
        <v>46297</v>
      </c>
      <c r="E43" s="11" t="s">
        <v>439</v>
      </c>
      <c r="F43" s="10" t="n">
        <v>8595</v>
      </c>
    </row>
    <row r="44" customFormat="false" ht="15" hidden="false" customHeight="false" outlineLevel="0" collapsed="false">
      <c r="A44" s="11" t="s">
        <v>47</v>
      </c>
      <c r="B44" s="11" t="s">
        <v>464</v>
      </c>
      <c r="C44" s="11" t="n">
        <v>78</v>
      </c>
      <c r="D44" s="22" t="n">
        <v>46300</v>
      </c>
      <c r="E44" s="11" t="s">
        <v>483</v>
      </c>
      <c r="F44" s="10" t="n">
        <v>595</v>
      </c>
    </row>
    <row r="45" customFormat="false" ht="15" hidden="false" customHeight="false" outlineLevel="0" collapsed="false">
      <c r="A45" s="11" t="s">
        <v>47</v>
      </c>
      <c r="B45" s="11" t="s">
        <v>464</v>
      </c>
      <c r="C45" s="11" t="n">
        <v>79</v>
      </c>
      <c r="D45" s="22" t="n">
        <v>46300</v>
      </c>
      <c r="E45" s="11" t="s">
        <v>484</v>
      </c>
      <c r="F45" s="10" t="n">
        <v>15060</v>
      </c>
    </row>
    <row r="46" customFormat="false" ht="15" hidden="false" customHeight="false" outlineLevel="0" collapsed="false">
      <c r="A46" s="11" t="s">
        <v>42</v>
      </c>
      <c r="B46" s="11" t="s">
        <v>42</v>
      </c>
      <c r="C46" s="11" t="n">
        <v>43</v>
      </c>
      <c r="D46" s="22" t="n">
        <v>46269</v>
      </c>
      <c r="E46" s="11" t="s">
        <v>485</v>
      </c>
      <c r="F46" s="10" t="n">
        <v>800</v>
      </c>
    </row>
    <row r="47" customFormat="false" ht="15" hidden="false" customHeight="false" outlineLevel="0" collapsed="false">
      <c r="A47" s="11" t="s">
        <v>42</v>
      </c>
      <c r="B47" s="11" t="s">
        <v>42</v>
      </c>
      <c r="C47" s="11" t="n">
        <v>56</v>
      </c>
      <c r="D47" s="22" t="n">
        <v>46276</v>
      </c>
      <c r="E47" s="11" t="s">
        <v>486</v>
      </c>
      <c r="F47" s="10" t="n">
        <v>1225</v>
      </c>
    </row>
    <row r="48" customFormat="false" ht="15" hidden="false" customHeight="false" outlineLevel="0" collapsed="false">
      <c r="A48" s="11" t="s">
        <v>42</v>
      </c>
      <c r="B48" s="11" t="s">
        <v>42</v>
      </c>
      <c r="C48" s="11" t="n">
        <v>79</v>
      </c>
      <c r="D48" s="22" t="n">
        <v>46286</v>
      </c>
      <c r="E48" s="11" t="s">
        <v>487</v>
      </c>
      <c r="F48" s="10" t="n">
        <v>1867</v>
      </c>
    </row>
    <row r="49" customFormat="false" ht="15" hidden="false" customHeight="false" outlineLevel="0" collapsed="false">
      <c r="A49" s="11" t="s">
        <v>42</v>
      </c>
      <c r="B49" s="11" t="s">
        <v>42</v>
      </c>
      <c r="C49" s="11" t="n">
        <v>87</v>
      </c>
      <c r="D49" s="22" t="n">
        <v>46290</v>
      </c>
      <c r="E49" s="11" t="s">
        <v>488</v>
      </c>
      <c r="F49" s="10" t="n">
        <v>1393</v>
      </c>
    </row>
    <row r="50" customFormat="false" ht="15" hidden="false" customHeight="false" outlineLevel="0" collapsed="false">
      <c r="A50" s="11" t="s">
        <v>42</v>
      </c>
      <c r="B50" s="11" t="s">
        <v>42</v>
      </c>
      <c r="C50" s="11" t="n">
        <v>99</v>
      </c>
      <c r="D50" s="22" t="n">
        <v>46293</v>
      </c>
      <c r="E50" s="11" t="s">
        <v>489</v>
      </c>
      <c r="F50" s="10" t="n">
        <v>11324.2</v>
      </c>
    </row>
    <row r="51" customFormat="false" ht="15" hidden="false" customHeight="false" outlineLevel="0" collapsed="false">
      <c r="A51" s="11" t="s">
        <v>42</v>
      </c>
      <c r="B51" s="11" t="s">
        <v>42</v>
      </c>
      <c r="C51" s="11" t="n">
        <v>113</v>
      </c>
      <c r="D51" s="22" t="n">
        <v>46300</v>
      </c>
      <c r="E51" s="11" t="s">
        <v>490</v>
      </c>
      <c r="F51" s="10" t="n">
        <v>315</v>
      </c>
    </row>
    <row r="52" customFormat="false" ht="15" hidden="false" customHeight="false" outlineLevel="0" collapsed="false">
      <c r="A52" s="11" t="s">
        <v>42</v>
      </c>
      <c r="B52" s="11" t="s">
        <v>42</v>
      </c>
      <c r="C52" s="11" t="n">
        <v>114</v>
      </c>
      <c r="D52" s="22" t="n">
        <v>46300</v>
      </c>
      <c r="E52" s="11" t="s">
        <v>491</v>
      </c>
      <c r="F52" s="10" t="n">
        <v>350</v>
      </c>
    </row>
    <row r="53" customFormat="false" ht="15" hidden="false" customHeight="false" outlineLevel="0" collapsed="false">
      <c r="A53" s="11" t="s">
        <v>42</v>
      </c>
      <c r="B53" s="11" t="s">
        <v>42</v>
      </c>
      <c r="C53" s="11" t="n">
        <v>115</v>
      </c>
      <c r="D53" s="22" t="n">
        <v>46300</v>
      </c>
      <c r="E53" s="11" t="s">
        <v>492</v>
      </c>
      <c r="F53" s="10" t="n">
        <v>945</v>
      </c>
    </row>
    <row r="54" customFormat="false" ht="15" hidden="false" customHeight="false" outlineLevel="0" collapsed="false">
      <c r="A54" s="11" t="s">
        <v>42</v>
      </c>
      <c r="B54" s="11" t="s">
        <v>42</v>
      </c>
      <c r="C54" s="11" t="n">
        <v>116</v>
      </c>
      <c r="D54" s="22" t="n">
        <v>46300</v>
      </c>
      <c r="E54" s="11" t="s">
        <v>493</v>
      </c>
      <c r="F54" s="10" t="n">
        <v>1835</v>
      </c>
    </row>
    <row r="55" customFormat="false" ht="15" hidden="false" customHeight="false" outlineLevel="0" collapsed="false">
      <c r="A55" s="11" t="s">
        <v>53</v>
      </c>
      <c r="B55" s="11" t="s">
        <v>494</v>
      </c>
      <c r="C55" s="11" t="n">
        <v>25</v>
      </c>
      <c r="D55" s="22" t="n">
        <v>46269</v>
      </c>
      <c r="E55" s="11"/>
      <c r="F55" s="10" t="n">
        <v>2370</v>
      </c>
    </row>
    <row r="56" customFormat="false" ht="15" hidden="false" customHeight="false" outlineLevel="0" collapsed="false">
      <c r="A56" s="11" t="s">
        <v>53</v>
      </c>
      <c r="B56" s="11" t="s">
        <v>494</v>
      </c>
      <c r="C56" s="11" t="n">
        <v>55</v>
      </c>
      <c r="D56" s="22" t="n">
        <v>46281</v>
      </c>
      <c r="E56" s="11"/>
      <c r="F56" s="10" t="n">
        <v>900</v>
      </c>
    </row>
    <row r="57" customFormat="false" ht="15" hidden="false" customHeight="false" outlineLevel="0" collapsed="false">
      <c r="A57" s="11" t="s">
        <v>53</v>
      </c>
      <c r="B57" s="11" t="s">
        <v>494</v>
      </c>
      <c r="C57" s="11" t="n">
        <v>92</v>
      </c>
      <c r="D57" s="22" t="n">
        <v>46297</v>
      </c>
      <c r="E57" s="11"/>
      <c r="F57" s="10" t="n">
        <v>3000</v>
      </c>
    </row>
    <row r="58" customFormat="false" ht="15" hidden="false" customHeight="false" outlineLevel="0" collapsed="false">
      <c r="A58" s="11" t="s">
        <v>53</v>
      </c>
      <c r="B58" s="11" t="s">
        <v>494</v>
      </c>
      <c r="C58" s="11" t="n">
        <v>93</v>
      </c>
      <c r="D58" s="22" t="n">
        <v>46300</v>
      </c>
      <c r="E58" s="11"/>
      <c r="F58" s="10" t="n">
        <v>6372.5</v>
      </c>
    </row>
    <row r="59" customFormat="false" ht="15" hidden="false" customHeight="false" outlineLevel="0" collapsed="false">
      <c r="A59" s="11" t="s">
        <v>53</v>
      </c>
      <c r="B59" s="11" t="s">
        <v>494</v>
      </c>
      <c r="C59" s="11" t="n">
        <v>94</v>
      </c>
      <c r="D59" s="22" t="n">
        <v>46300</v>
      </c>
      <c r="E59" s="11"/>
      <c r="F59" s="10" t="n">
        <v>7650</v>
      </c>
    </row>
    <row r="60" customFormat="false" ht="15" hidden="false" customHeight="false" outlineLevel="0" collapsed="false">
      <c r="A60" s="11" t="s">
        <v>53</v>
      </c>
      <c r="B60" s="11" t="s">
        <v>494</v>
      </c>
      <c r="C60" s="11" t="n">
        <v>95</v>
      </c>
      <c r="D60" s="22" t="n">
        <v>46300</v>
      </c>
      <c r="E60" s="11"/>
      <c r="F60" s="10" t="n">
        <v>8100</v>
      </c>
    </row>
    <row r="61" customFormat="false" ht="15" hidden="false" customHeight="false" outlineLevel="0" collapsed="false">
      <c r="A61" s="11" t="s">
        <v>53</v>
      </c>
      <c r="B61" s="11" t="s">
        <v>444</v>
      </c>
      <c r="C61" s="11" t="n">
        <v>34</v>
      </c>
      <c r="D61" s="22" t="n">
        <v>46283</v>
      </c>
      <c r="E61" s="11"/>
      <c r="F61" s="10" t="n">
        <v>3000</v>
      </c>
    </row>
    <row r="62" customFormat="false" ht="15" hidden="false" customHeight="false" outlineLevel="0" collapsed="false">
      <c r="A62" s="3" t="s">
        <v>58</v>
      </c>
      <c r="F62" s="26" t="n">
        <f aca="false">SUM(F5:F61)</f>
        <v>144542</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5"/>
    <col collapsed="false" customWidth="true" hidden="false" outlineLevel="0" max="3" min="3" style="0" width="80"/>
    <col collapsed="false" customWidth="true" hidden="false" outlineLevel="0" max="4" min="4" style="0" width="30"/>
  </cols>
  <sheetData>
    <row r="1" customFormat="false" ht="17.35" hidden="false" customHeight="false" outlineLevel="0" collapsed="false">
      <c r="A1" s="1" t="s">
        <v>495</v>
      </c>
    </row>
    <row r="3" customFormat="false" ht="42" hidden="false" customHeight="true" outlineLevel="0" collapsed="false">
      <c r="A3" s="6" t="s">
        <v>496</v>
      </c>
      <c r="B3" s="6" t="s">
        <v>497</v>
      </c>
      <c r="C3" s="6" t="s">
        <v>498</v>
      </c>
      <c r="D3" s="6" t="s">
        <v>499</v>
      </c>
    </row>
    <row r="4" customFormat="false" ht="75" hidden="false" customHeight="true" outlineLevel="0" collapsed="false">
      <c r="A4" s="11" t="n">
        <v>1</v>
      </c>
      <c r="B4" s="27" t="s">
        <v>500</v>
      </c>
      <c r="C4" s="15" t="s">
        <v>501</v>
      </c>
      <c r="D4" s="15" t="s">
        <v>502</v>
      </c>
    </row>
    <row r="5" customFormat="false" ht="75" hidden="false" customHeight="true" outlineLevel="0" collapsed="false">
      <c r="A5" s="11" t="n">
        <v>2</v>
      </c>
      <c r="B5" s="27" t="s">
        <v>503</v>
      </c>
      <c r="C5" s="15" t="s">
        <v>504</v>
      </c>
      <c r="D5" s="15" t="s">
        <v>505</v>
      </c>
    </row>
    <row r="6" customFormat="false" ht="75" hidden="false" customHeight="true" outlineLevel="0" collapsed="false">
      <c r="A6" s="11" t="n">
        <v>3</v>
      </c>
      <c r="B6" s="27" t="s">
        <v>506</v>
      </c>
      <c r="C6" s="15" t="s">
        <v>507</v>
      </c>
      <c r="D6" s="15" t="s">
        <v>508</v>
      </c>
    </row>
    <row r="7" customFormat="false" ht="75" hidden="false" customHeight="true" outlineLevel="0" collapsed="false">
      <c r="A7" s="11" t="n">
        <v>4</v>
      </c>
      <c r="B7" s="27" t="s">
        <v>509</v>
      </c>
      <c r="C7" s="15" t="s">
        <v>510</v>
      </c>
      <c r="D7" s="15" t="s">
        <v>511</v>
      </c>
    </row>
    <row r="8" customFormat="false" ht="75" hidden="false" customHeight="true" outlineLevel="0" collapsed="false">
      <c r="A8" s="11" t="n">
        <v>5</v>
      </c>
      <c r="B8" s="27" t="s">
        <v>512</v>
      </c>
      <c r="C8" s="15" t="s">
        <v>513</v>
      </c>
      <c r="D8" s="15" t="s">
        <v>514</v>
      </c>
    </row>
    <row r="9" customFormat="false" ht="75" hidden="false" customHeight="true" outlineLevel="0" collapsed="false">
      <c r="A9" s="11" t="n">
        <v>6</v>
      </c>
      <c r="B9" s="27" t="s">
        <v>515</v>
      </c>
      <c r="C9" s="15" t="s">
        <v>516</v>
      </c>
      <c r="D9" s="15" t="s">
        <v>517</v>
      </c>
    </row>
    <row r="10" customFormat="false" ht="75" hidden="false" customHeight="true" outlineLevel="0" collapsed="false">
      <c r="A10" s="11" t="n">
        <v>7</v>
      </c>
      <c r="B10" s="27" t="s">
        <v>518</v>
      </c>
      <c r="C10" s="15" t="s">
        <v>519</v>
      </c>
      <c r="D10" s="15" t="s">
        <v>520</v>
      </c>
    </row>
    <row r="11" customFormat="false" ht="75" hidden="false" customHeight="true" outlineLevel="0" collapsed="false">
      <c r="A11" s="11" t="n">
        <v>8</v>
      </c>
      <c r="B11" s="27" t="s">
        <v>521</v>
      </c>
      <c r="C11" s="15" t="s">
        <v>522</v>
      </c>
      <c r="D11" s="15" t="s">
        <v>514</v>
      </c>
    </row>
    <row r="12" customFormat="false" ht="75" hidden="false" customHeight="true" outlineLevel="0" collapsed="false">
      <c r="A12" s="11" t="n">
        <v>9</v>
      </c>
      <c r="B12" s="27" t="s">
        <v>523</v>
      </c>
      <c r="C12" s="15" t="s">
        <v>524</v>
      </c>
      <c r="D12" s="15" t="s">
        <v>525</v>
      </c>
    </row>
    <row r="13" customFormat="false" ht="75" hidden="false" customHeight="true" outlineLevel="0" collapsed="false">
      <c r="A13" s="11" t="n">
        <v>10</v>
      </c>
      <c r="B13" s="27" t="s">
        <v>526</v>
      </c>
      <c r="C13" s="15" t="s">
        <v>527</v>
      </c>
      <c r="D13" s="15" t="s">
        <v>528</v>
      </c>
    </row>
    <row r="14" customFormat="false" ht="75" hidden="false" customHeight="true" outlineLevel="0" collapsed="false">
      <c r="A14" s="11" t="n">
        <v>11</v>
      </c>
      <c r="B14" s="27" t="s">
        <v>529</v>
      </c>
      <c r="C14" s="15" t="s">
        <v>530</v>
      </c>
      <c r="D14" s="15" t="s">
        <v>531</v>
      </c>
    </row>
    <row r="15" customFormat="false" ht="75" hidden="false" customHeight="true" outlineLevel="0" collapsed="false">
      <c r="A15" s="11" t="n">
        <v>12</v>
      </c>
      <c r="B15" s="27" t="s">
        <v>532</v>
      </c>
      <c r="C15" s="15" t="s">
        <v>533</v>
      </c>
      <c r="D15" s="15" t="s">
        <v>514</v>
      </c>
    </row>
    <row r="16" customFormat="false" ht="75" hidden="false" customHeight="true" outlineLevel="0" collapsed="false">
      <c r="A16" s="11" t="n">
        <v>13</v>
      </c>
      <c r="B16" s="27" t="s">
        <v>534</v>
      </c>
      <c r="C16" s="15" t="s">
        <v>535</v>
      </c>
      <c r="D16" s="15" t="s">
        <v>536</v>
      </c>
    </row>
    <row r="17" customFormat="false" ht="75" hidden="false" customHeight="true" outlineLevel="0" collapsed="false">
      <c r="A17" s="11" t="n">
        <v>14</v>
      </c>
      <c r="B17" s="27" t="s">
        <v>537</v>
      </c>
      <c r="C17" s="15" t="s">
        <v>538</v>
      </c>
      <c r="D17" s="15" t="s">
        <v>536</v>
      </c>
    </row>
    <row r="18" customFormat="false" ht="75" hidden="false" customHeight="true" outlineLevel="0" collapsed="false">
      <c r="A18" s="11" t="n">
        <v>15</v>
      </c>
      <c r="B18" s="27" t="s">
        <v>539</v>
      </c>
      <c r="C18" s="15" t="s">
        <v>540</v>
      </c>
      <c r="D18" s="15" t="s">
        <v>541</v>
      </c>
    </row>
    <row r="19" customFormat="false" ht="75" hidden="false" customHeight="true" outlineLevel="0" collapsed="false">
      <c r="A19" s="11" t="n">
        <v>16</v>
      </c>
      <c r="B19" s="27" t="s">
        <v>542</v>
      </c>
      <c r="C19" s="15" t="s">
        <v>543</v>
      </c>
      <c r="D19" s="15" t="s">
        <v>511</v>
      </c>
    </row>
    <row r="20" customFormat="false" ht="75" hidden="false" customHeight="true" outlineLevel="0" collapsed="false">
      <c r="A20" s="11" t="n">
        <v>17</v>
      </c>
      <c r="B20" s="27" t="s">
        <v>544</v>
      </c>
      <c r="C20" s="15" t="s">
        <v>545</v>
      </c>
      <c r="D20" s="15" t="s">
        <v>536</v>
      </c>
    </row>
    <row r="21" customFormat="false" ht="75" hidden="false" customHeight="true" outlineLevel="0" collapsed="false">
      <c r="A21" s="11" t="n">
        <v>18</v>
      </c>
      <c r="B21" s="27" t="s">
        <v>546</v>
      </c>
      <c r="C21" s="15" t="s">
        <v>547</v>
      </c>
      <c r="D21" s="15" t="s">
        <v>548</v>
      </c>
    </row>
    <row r="22" customFormat="false" ht="75" hidden="false" customHeight="true" outlineLevel="0" collapsed="false">
      <c r="A22" s="11" t="n">
        <v>19</v>
      </c>
      <c r="B22" s="27" t="s">
        <v>549</v>
      </c>
      <c r="C22" s="15" t="s">
        <v>550</v>
      </c>
      <c r="D22" s="15" t="s">
        <v>551</v>
      </c>
    </row>
    <row r="23" customFormat="false" ht="75" hidden="false" customHeight="true" outlineLevel="0" collapsed="false">
      <c r="A23" s="11" t="n">
        <v>20</v>
      </c>
      <c r="B23" s="27" t="s">
        <v>552</v>
      </c>
      <c r="C23" s="15" t="s">
        <v>553</v>
      </c>
      <c r="D23" s="15" t="s">
        <v>551</v>
      </c>
    </row>
    <row r="24" customFormat="false" ht="75" hidden="false" customHeight="true" outlineLevel="0" collapsed="false">
      <c r="A24" s="11" t="n">
        <v>21</v>
      </c>
      <c r="B24" s="27" t="s">
        <v>554</v>
      </c>
      <c r="C24" s="15" t="s">
        <v>555</v>
      </c>
      <c r="D24" s="15" t="s">
        <v>556</v>
      </c>
    </row>
    <row r="25" customFormat="false" ht="75" hidden="false" customHeight="true" outlineLevel="0" collapsed="false">
      <c r="A25" s="11" t="n">
        <v>22</v>
      </c>
      <c r="B25" s="27" t="s">
        <v>557</v>
      </c>
      <c r="C25" s="15" t="s">
        <v>558</v>
      </c>
      <c r="D25" s="15" t="s">
        <v>551</v>
      </c>
    </row>
    <row r="26" customFormat="false" ht="75" hidden="false" customHeight="true" outlineLevel="0" collapsed="false">
      <c r="A26" s="11" t="n">
        <v>23</v>
      </c>
      <c r="B26" s="27" t="s">
        <v>559</v>
      </c>
      <c r="C26" s="15" t="s">
        <v>560</v>
      </c>
      <c r="D26" s="15" t="s">
        <v>561</v>
      </c>
    </row>
    <row r="27" customFormat="false" ht="75" hidden="false" customHeight="true" outlineLevel="0" collapsed="false">
      <c r="A27" s="11" t="n">
        <v>24</v>
      </c>
      <c r="B27" s="27" t="s">
        <v>562</v>
      </c>
      <c r="C27" s="15" t="s">
        <v>563</v>
      </c>
      <c r="D27" s="15" t="s">
        <v>564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34"/>
    <col collapsed="false" customWidth="true" hidden="false" outlineLevel="0" max="4" min="4" style="0" width="26"/>
    <col collapsed="false" customWidth="true" hidden="false" outlineLevel="0" max="5" min="5" style="0" width="80"/>
    <col collapsed="false" customWidth="true" hidden="false" outlineLevel="0" max="6" min="6" style="0" width="70"/>
  </cols>
  <sheetData>
    <row r="1" customFormat="false" ht="17.35" hidden="false" customHeight="false" outlineLevel="0" collapsed="false">
      <c r="A1" s="1" t="s">
        <v>565</v>
      </c>
    </row>
    <row r="2" customFormat="false" ht="30" hidden="false" customHeight="true" outlineLevel="0" collapsed="false">
      <c r="A2" s="2" t="s">
        <v>566</v>
      </c>
      <c r="B2" s="2"/>
      <c r="C2" s="2"/>
      <c r="D2" s="2"/>
      <c r="E2" s="2"/>
      <c r="F2" s="2"/>
    </row>
    <row r="4" customFormat="false" ht="42" hidden="false" customHeight="true" outlineLevel="0" collapsed="false">
      <c r="A4" s="6" t="s">
        <v>8</v>
      </c>
      <c r="B4" s="6" t="s">
        <v>567</v>
      </c>
      <c r="C4" s="6" t="s">
        <v>568</v>
      </c>
      <c r="D4" s="6" t="s">
        <v>569</v>
      </c>
      <c r="E4" s="6" t="s">
        <v>570</v>
      </c>
      <c r="F4" s="6" t="s">
        <v>571</v>
      </c>
    </row>
    <row r="5" customFormat="false" ht="120" hidden="false" customHeight="true" outlineLevel="0" collapsed="false">
      <c r="A5" s="27" t="s">
        <v>37</v>
      </c>
      <c r="B5" s="15" t="s">
        <v>572</v>
      </c>
      <c r="C5" s="15" t="s">
        <v>573</v>
      </c>
      <c r="D5" s="15" t="s">
        <v>574</v>
      </c>
      <c r="E5" s="15" t="s">
        <v>575</v>
      </c>
      <c r="F5" s="15" t="s">
        <v>576</v>
      </c>
    </row>
    <row r="6" customFormat="false" ht="120" hidden="false" customHeight="true" outlineLevel="0" collapsed="false">
      <c r="A6" s="27" t="s">
        <v>37</v>
      </c>
      <c r="B6" s="15"/>
      <c r="C6" s="15" t="s">
        <v>577</v>
      </c>
      <c r="D6" s="15" t="s">
        <v>578</v>
      </c>
      <c r="E6" s="15" t="s">
        <v>579</v>
      </c>
      <c r="F6" s="15" t="s">
        <v>580</v>
      </c>
    </row>
    <row r="7" customFormat="false" ht="120" hidden="false" customHeight="true" outlineLevel="0" collapsed="false">
      <c r="A7" s="27" t="s">
        <v>37</v>
      </c>
      <c r="B7" s="15"/>
      <c r="C7" s="15" t="s">
        <v>577</v>
      </c>
      <c r="D7" s="15" t="s">
        <v>581</v>
      </c>
      <c r="E7" s="15" t="s">
        <v>582</v>
      </c>
      <c r="F7" s="15" t="s">
        <v>583</v>
      </c>
    </row>
    <row r="8" customFormat="false" ht="120" hidden="false" customHeight="true" outlineLevel="0" collapsed="false">
      <c r="A8" s="27" t="s">
        <v>37</v>
      </c>
      <c r="B8" s="15"/>
      <c r="C8" s="15" t="s">
        <v>577</v>
      </c>
      <c r="D8" s="15" t="s">
        <v>584</v>
      </c>
      <c r="E8" s="15" t="s">
        <v>585</v>
      </c>
      <c r="F8" s="15" t="s">
        <v>586</v>
      </c>
    </row>
    <row r="9" customFormat="false" ht="120" hidden="false" customHeight="true" outlineLevel="0" collapsed="false">
      <c r="A9" s="27" t="s">
        <v>37</v>
      </c>
      <c r="B9" s="15"/>
      <c r="C9" s="15" t="s">
        <v>577</v>
      </c>
      <c r="D9" s="15" t="s">
        <v>587</v>
      </c>
      <c r="E9" s="15" t="s">
        <v>588</v>
      </c>
      <c r="F9" s="15" t="s">
        <v>589</v>
      </c>
    </row>
    <row r="10" customFormat="false" ht="120" hidden="false" customHeight="true" outlineLevel="0" collapsed="false">
      <c r="A10" s="27" t="s">
        <v>44</v>
      </c>
      <c r="B10" s="15" t="s">
        <v>590</v>
      </c>
      <c r="C10" s="15" t="s">
        <v>591</v>
      </c>
      <c r="D10" s="15" t="s">
        <v>592</v>
      </c>
      <c r="E10" s="15" t="s">
        <v>593</v>
      </c>
      <c r="F10" s="15" t="s">
        <v>594</v>
      </c>
    </row>
    <row r="11" customFormat="false" ht="120" hidden="false" customHeight="true" outlineLevel="0" collapsed="false">
      <c r="A11" s="27" t="s">
        <v>44</v>
      </c>
      <c r="B11" s="15"/>
      <c r="C11" s="15" t="s">
        <v>577</v>
      </c>
      <c r="D11" s="15" t="s">
        <v>595</v>
      </c>
      <c r="E11" s="15" t="s">
        <v>596</v>
      </c>
      <c r="F11" s="15" t="s">
        <v>597</v>
      </c>
    </row>
    <row r="12" customFormat="false" ht="120" hidden="false" customHeight="true" outlineLevel="0" collapsed="false">
      <c r="A12" s="27" t="s">
        <v>40</v>
      </c>
      <c r="B12" s="15" t="s">
        <v>598</v>
      </c>
      <c r="C12" s="15" t="s">
        <v>599</v>
      </c>
      <c r="D12" s="15" t="s">
        <v>600</v>
      </c>
      <c r="E12" s="15" t="s">
        <v>601</v>
      </c>
      <c r="F12" s="15" t="s">
        <v>602</v>
      </c>
    </row>
    <row r="13" customFormat="false" ht="120" hidden="false" customHeight="true" outlineLevel="0" collapsed="false">
      <c r="A13" s="27" t="s">
        <v>40</v>
      </c>
      <c r="B13" s="15"/>
      <c r="C13" s="15" t="s">
        <v>577</v>
      </c>
      <c r="D13" s="15" t="s">
        <v>603</v>
      </c>
      <c r="E13" s="15" t="s">
        <v>604</v>
      </c>
      <c r="F13" s="15" t="s">
        <v>605</v>
      </c>
    </row>
    <row r="14" customFormat="false" ht="120" hidden="false" customHeight="true" outlineLevel="0" collapsed="false">
      <c r="A14" s="27" t="s">
        <v>40</v>
      </c>
      <c r="B14" s="15"/>
      <c r="C14" s="15" t="s">
        <v>577</v>
      </c>
      <c r="D14" s="15" t="s">
        <v>606</v>
      </c>
      <c r="E14" s="15" t="s">
        <v>607</v>
      </c>
      <c r="F14" s="15" t="s">
        <v>608</v>
      </c>
    </row>
    <row r="15" customFormat="false" ht="120" hidden="false" customHeight="true" outlineLevel="0" collapsed="false">
      <c r="A15" s="27" t="s">
        <v>40</v>
      </c>
      <c r="B15" s="15"/>
      <c r="C15" s="15" t="s">
        <v>577</v>
      </c>
      <c r="D15" s="15" t="s">
        <v>609</v>
      </c>
      <c r="E15" s="15" t="s">
        <v>610</v>
      </c>
      <c r="F15" s="15" t="s">
        <v>611</v>
      </c>
    </row>
    <row r="16" customFormat="false" ht="120" hidden="false" customHeight="true" outlineLevel="0" collapsed="false">
      <c r="A16" s="27" t="s">
        <v>42</v>
      </c>
      <c r="B16" s="15" t="s">
        <v>612</v>
      </c>
      <c r="C16" s="15" t="s">
        <v>613</v>
      </c>
      <c r="D16" s="15" t="s">
        <v>614</v>
      </c>
      <c r="E16" s="15" t="s">
        <v>615</v>
      </c>
      <c r="F16" s="15" t="s">
        <v>616</v>
      </c>
    </row>
    <row r="17" customFormat="false" ht="120" hidden="false" customHeight="true" outlineLevel="0" collapsed="false">
      <c r="A17" s="27" t="s">
        <v>42</v>
      </c>
      <c r="B17" s="15"/>
      <c r="C17" s="15" t="s">
        <v>577</v>
      </c>
      <c r="D17" s="15" t="s">
        <v>617</v>
      </c>
      <c r="E17" s="15" t="s">
        <v>618</v>
      </c>
      <c r="F17" s="15" t="s">
        <v>619</v>
      </c>
    </row>
    <row r="18" customFormat="false" ht="120" hidden="false" customHeight="true" outlineLevel="0" collapsed="false">
      <c r="A18" s="27" t="s">
        <v>42</v>
      </c>
      <c r="B18" s="15"/>
      <c r="C18" s="15" t="s">
        <v>577</v>
      </c>
      <c r="D18" s="15" t="s">
        <v>620</v>
      </c>
      <c r="E18" s="15" t="s">
        <v>621</v>
      </c>
      <c r="F18" s="15" t="s">
        <v>622</v>
      </c>
    </row>
    <row r="19" customFormat="false" ht="120" hidden="false" customHeight="true" outlineLevel="0" collapsed="false">
      <c r="A19" s="27" t="s">
        <v>42</v>
      </c>
      <c r="B19" s="15"/>
      <c r="C19" s="15" t="s">
        <v>577</v>
      </c>
      <c r="D19" s="15" t="s">
        <v>623</v>
      </c>
      <c r="E19" s="15" t="s">
        <v>624</v>
      </c>
      <c r="F19" s="15" t="s">
        <v>625</v>
      </c>
    </row>
    <row r="20" customFormat="false" ht="120" hidden="false" customHeight="true" outlineLevel="0" collapsed="false">
      <c r="A20" s="27" t="s">
        <v>42</v>
      </c>
      <c r="B20" s="15"/>
      <c r="C20" s="15" t="s">
        <v>577</v>
      </c>
      <c r="D20" s="15" t="s">
        <v>626</v>
      </c>
      <c r="E20" s="15" t="s">
        <v>627</v>
      </c>
      <c r="F20" s="15" t="s">
        <v>628</v>
      </c>
    </row>
    <row r="21" customFormat="false" ht="120" hidden="false" customHeight="true" outlineLevel="0" collapsed="false">
      <c r="A21" s="27" t="s">
        <v>47</v>
      </c>
      <c r="B21" s="15" t="s">
        <v>629</v>
      </c>
      <c r="C21" s="15" t="s">
        <v>630</v>
      </c>
      <c r="D21" s="15" t="s">
        <v>631</v>
      </c>
      <c r="E21" s="15" t="s">
        <v>632</v>
      </c>
      <c r="F21" s="15" t="s">
        <v>633</v>
      </c>
    </row>
    <row r="22" customFormat="false" ht="120" hidden="false" customHeight="true" outlineLevel="0" collapsed="false">
      <c r="A22" s="27" t="s">
        <v>47</v>
      </c>
      <c r="B22" s="15"/>
      <c r="C22" s="15" t="s">
        <v>577</v>
      </c>
      <c r="D22" s="15" t="s">
        <v>634</v>
      </c>
      <c r="E22" s="15" t="s">
        <v>635</v>
      </c>
      <c r="F22" s="15" t="s">
        <v>636</v>
      </c>
    </row>
    <row r="23" customFormat="false" ht="120" hidden="false" customHeight="true" outlineLevel="0" collapsed="false">
      <c r="A23" s="27" t="s">
        <v>47</v>
      </c>
      <c r="B23" s="15"/>
      <c r="C23" s="15" t="s">
        <v>577</v>
      </c>
      <c r="D23" s="15" t="s">
        <v>637</v>
      </c>
      <c r="E23" s="15" t="s">
        <v>638</v>
      </c>
      <c r="F23" s="15" t="s">
        <v>639</v>
      </c>
    </row>
    <row r="24" customFormat="false" ht="120" hidden="false" customHeight="true" outlineLevel="0" collapsed="false">
      <c r="A24" s="27" t="s">
        <v>47</v>
      </c>
      <c r="B24" s="15"/>
      <c r="C24" s="15" t="s">
        <v>577</v>
      </c>
      <c r="D24" s="15" t="s">
        <v>640</v>
      </c>
      <c r="E24" s="15" t="s">
        <v>641</v>
      </c>
      <c r="F24" s="15" t="s">
        <v>642</v>
      </c>
    </row>
    <row r="25" customFormat="false" ht="120" hidden="false" customHeight="true" outlineLevel="0" collapsed="false">
      <c r="A25" s="27" t="s">
        <v>47</v>
      </c>
      <c r="B25" s="15"/>
      <c r="C25" s="15" t="s">
        <v>577</v>
      </c>
      <c r="D25" s="15" t="s">
        <v>643</v>
      </c>
      <c r="E25" s="15" t="s">
        <v>644</v>
      </c>
      <c r="F25" s="15" t="s">
        <v>645</v>
      </c>
    </row>
    <row r="26" customFormat="false" ht="120" hidden="false" customHeight="true" outlineLevel="0" collapsed="false">
      <c r="A26" s="27" t="s">
        <v>646</v>
      </c>
      <c r="B26" s="15" t="s">
        <v>647</v>
      </c>
      <c r="C26" s="15" t="s">
        <v>648</v>
      </c>
      <c r="D26" s="15" t="s">
        <v>649</v>
      </c>
      <c r="E26" s="15" t="s">
        <v>650</v>
      </c>
      <c r="F26" s="15" t="s">
        <v>651</v>
      </c>
    </row>
    <row r="27" customFormat="false" ht="120" hidden="false" customHeight="true" outlineLevel="0" collapsed="false">
      <c r="A27" s="27" t="s">
        <v>646</v>
      </c>
      <c r="B27" s="15" t="s">
        <v>647</v>
      </c>
      <c r="C27" s="15" t="s">
        <v>652</v>
      </c>
      <c r="D27" s="15" t="s">
        <v>653</v>
      </c>
      <c r="E27" s="15" t="s">
        <v>654</v>
      </c>
      <c r="F27" s="15" t="s">
        <v>655</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656</v>
      </c>
    </row>
    <row r="3" customFormat="false" ht="33.75" hidden="false" customHeight="true" outlineLevel="0" collapsed="false">
      <c r="A3" s="2" t="s">
        <v>657</v>
      </c>
      <c r="B3" s="2"/>
      <c r="C3" s="2"/>
      <c r="D3" s="2"/>
      <c r="E3" s="2"/>
      <c r="F3" s="2"/>
      <c r="G3" s="2"/>
      <c r="H3" s="2"/>
      <c r="I3" s="2"/>
      <c r="J3" s="2"/>
    </row>
    <row r="4" customFormat="false" ht="33.75" hidden="false" customHeight="true" outlineLevel="0" collapsed="false">
      <c r="A4" s="2" t="s">
        <v>658</v>
      </c>
      <c r="B4" s="2"/>
      <c r="C4" s="2"/>
      <c r="D4" s="2"/>
      <c r="E4" s="2"/>
      <c r="F4" s="2"/>
      <c r="G4" s="2"/>
      <c r="H4" s="2"/>
      <c r="I4" s="2"/>
      <c r="J4" s="2"/>
    </row>
    <row r="5" customFormat="false" ht="33.75" hidden="false" customHeight="true" outlineLevel="0" collapsed="false">
      <c r="A5" s="2" t="s">
        <v>659</v>
      </c>
      <c r="B5" s="2"/>
      <c r="C5" s="2"/>
      <c r="D5" s="2"/>
      <c r="E5" s="2"/>
      <c r="F5" s="2"/>
      <c r="G5" s="2"/>
      <c r="H5" s="2"/>
      <c r="I5" s="2"/>
      <c r="J5" s="2"/>
    </row>
    <row r="6" customFormat="false" ht="33.75" hidden="false" customHeight="true" outlineLevel="0" collapsed="false">
      <c r="A6" s="2" t="s">
        <v>660</v>
      </c>
      <c r="B6" s="2"/>
      <c r="C6" s="2"/>
      <c r="D6" s="2"/>
      <c r="E6" s="2"/>
      <c r="F6" s="2"/>
      <c r="G6" s="2"/>
      <c r="H6" s="2"/>
      <c r="I6" s="2"/>
      <c r="J6" s="2"/>
    </row>
    <row r="7" customFormat="false" ht="33.75" hidden="false" customHeight="true" outlineLevel="0" collapsed="false">
      <c r="A7" s="2" t="s">
        <v>661</v>
      </c>
      <c r="B7" s="2"/>
      <c r="C7" s="2"/>
      <c r="D7" s="2"/>
      <c r="E7" s="2"/>
      <c r="F7" s="2"/>
      <c r="G7" s="2"/>
      <c r="H7" s="2"/>
      <c r="I7" s="2"/>
      <c r="J7" s="2"/>
    </row>
    <row r="8" customFormat="false" ht="33.75" hidden="false" customHeight="true" outlineLevel="0" collapsed="false">
      <c r="A8" s="2" t="s">
        <v>662</v>
      </c>
      <c r="B8" s="2"/>
      <c r="C8" s="2"/>
      <c r="D8" s="2"/>
      <c r="E8" s="2"/>
      <c r="F8" s="2"/>
      <c r="G8" s="2"/>
      <c r="H8" s="2"/>
      <c r="I8" s="2"/>
      <c r="J8" s="2"/>
    </row>
    <row r="9" customFormat="false" ht="33.75" hidden="false" customHeight="true" outlineLevel="0" collapsed="false">
      <c r="A9" s="2" t="s">
        <v>663</v>
      </c>
      <c r="B9" s="2"/>
      <c r="C9" s="2"/>
      <c r="D9" s="2"/>
      <c r="E9" s="2"/>
      <c r="F9" s="2"/>
      <c r="G9" s="2"/>
      <c r="H9" s="2"/>
      <c r="I9" s="2"/>
      <c r="J9" s="2"/>
    </row>
    <row r="10" customFormat="false" ht="33.75" hidden="false" customHeight="true" outlineLevel="0" collapsed="false">
      <c r="A10" s="2" t="s">
        <v>664</v>
      </c>
      <c r="B10" s="2"/>
      <c r="C10" s="2"/>
      <c r="D10" s="2"/>
      <c r="E10" s="2"/>
      <c r="F10" s="2"/>
      <c r="G10" s="2"/>
      <c r="H10" s="2"/>
      <c r="I10" s="2"/>
      <c r="J10" s="2"/>
    </row>
    <row r="11" customFormat="false" ht="33.75" hidden="false" customHeight="true" outlineLevel="0" collapsed="false">
      <c r="A11" s="2" t="s">
        <v>665</v>
      </c>
      <c r="B11" s="2"/>
      <c r="C11" s="2"/>
      <c r="D11" s="2"/>
      <c r="E11" s="2"/>
      <c r="F11" s="2"/>
      <c r="G11" s="2"/>
      <c r="H11" s="2"/>
      <c r="I11" s="2"/>
      <c r="J11" s="2"/>
    </row>
    <row r="12" customFormat="false" ht="33.75" hidden="false" customHeight="true" outlineLevel="0" collapsed="false">
      <c r="A12" s="2" t="s">
        <v>666</v>
      </c>
      <c r="B12" s="2"/>
      <c r="C12" s="2"/>
      <c r="D12" s="2"/>
      <c r="E12" s="2"/>
      <c r="F12" s="2"/>
      <c r="G12" s="2"/>
      <c r="H12" s="2"/>
      <c r="I12" s="2"/>
      <c r="J12" s="2"/>
    </row>
    <row r="13" customFormat="false" ht="33.75" hidden="false" customHeight="true" outlineLevel="0" collapsed="false">
      <c r="A13" s="2" t="s">
        <v>667</v>
      </c>
      <c r="B13" s="2"/>
      <c r="C13" s="2"/>
      <c r="D13" s="2"/>
      <c r="E13" s="2"/>
      <c r="F13" s="2"/>
      <c r="G13" s="2"/>
      <c r="H13" s="2"/>
      <c r="I13" s="2"/>
      <c r="J13" s="2"/>
    </row>
  </sheetData>
  <mergeCells count="11">
    <mergeCell ref="A3:J3"/>
    <mergeCell ref="A4:J4"/>
    <mergeCell ref="A5:J5"/>
    <mergeCell ref="A6:J6"/>
    <mergeCell ref="A7:J7"/>
    <mergeCell ref="A8:J8"/>
    <mergeCell ref="A9:J9"/>
    <mergeCell ref="A10:J10"/>
    <mergeCell ref="A11:J11"/>
    <mergeCell ref="A12:J12"/>
    <mergeCell ref="A13:J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8"/>
    <col collapsed="false" customWidth="true" hidden="false" outlineLevel="0" max="3" min="3" style="0" width="9"/>
    <col collapsed="false" customWidth="true" hidden="false" outlineLevel="0" max="4" min="4" style="0" width="55"/>
    <col collapsed="false" customWidth="true" hidden="false" outlineLevel="0" max="5" min="5" style="0" width="9"/>
    <col collapsed="false" customWidth="true" hidden="false" outlineLevel="0" max="6" min="6" style="0" width="45"/>
    <col collapsed="false" customWidth="true" hidden="false" outlineLevel="0" max="8" min="7" style="0" width="28"/>
    <col collapsed="false" customWidth="true" hidden="false" outlineLevel="0" max="9" min="9" style="0" width="12"/>
    <col collapsed="false" customWidth="true" hidden="false" outlineLevel="0" max="10" min="10" style="0" width="40"/>
    <col collapsed="false" customWidth="true" hidden="false" outlineLevel="0" max="12" min="11" style="0" width="45"/>
    <col collapsed="false" customWidth="true" hidden="false" outlineLevel="0" max="13" min="13" style="0" width="12"/>
    <col collapsed="false" customWidth="true" hidden="false" outlineLevel="0" max="14" min="14" style="0" width="55"/>
    <col collapsed="false" customWidth="true" hidden="false" outlineLevel="0" max="15" min="15" style="0" width="70"/>
  </cols>
  <sheetData>
    <row r="1" customFormat="false" ht="17.35" hidden="false" customHeight="false" outlineLevel="0" collapsed="false">
      <c r="A1" s="1" t="s">
        <v>668</v>
      </c>
    </row>
    <row r="2" customFormat="false" ht="45" hidden="false" customHeight="true" outlineLevel="0" collapsed="false">
      <c r="A2" s="2" t="s">
        <v>669</v>
      </c>
      <c r="B2" s="2"/>
      <c r="C2" s="2"/>
      <c r="D2" s="2"/>
      <c r="E2" s="2"/>
      <c r="F2" s="2"/>
      <c r="G2" s="2"/>
      <c r="H2" s="2"/>
      <c r="I2" s="2"/>
      <c r="J2" s="2"/>
      <c r="K2" s="2"/>
      <c r="L2" s="2"/>
      <c r="M2" s="2"/>
      <c r="N2" s="2"/>
    </row>
    <row r="4" customFormat="false" ht="42" hidden="false" customHeight="true" outlineLevel="0" collapsed="false">
      <c r="A4" s="6" t="s">
        <v>670</v>
      </c>
      <c r="B4" s="6" t="s">
        <v>671</v>
      </c>
      <c r="C4" s="6" t="s">
        <v>23</v>
      </c>
      <c r="D4" s="6" t="s">
        <v>672</v>
      </c>
      <c r="E4" s="6" t="s">
        <v>24</v>
      </c>
      <c r="F4" s="6" t="s">
        <v>673</v>
      </c>
      <c r="G4" s="6" t="s">
        <v>674</v>
      </c>
      <c r="H4" s="6" t="s">
        <v>675</v>
      </c>
      <c r="I4" s="6" t="s">
        <v>676</v>
      </c>
      <c r="J4" s="6" t="s">
        <v>677</v>
      </c>
      <c r="K4" s="6" t="s">
        <v>678</v>
      </c>
      <c r="L4" s="6" t="s">
        <v>679</v>
      </c>
      <c r="M4" s="6" t="s">
        <v>680</v>
      </c>
      <c r="N4" s="6" t="s">
        <v>681</v>
      </c>
      <c r="O4" s="6" t="s">
        <v>682</v>
      </c>
    </row>
    <row r="5" customFormat="false" ht="150" hidden="false" customHeight="true" outlineLevel="0" collapsed="false">
      <c r="A5" s="15" t="s">
        <v>38</v>
      </c>
      <c r="B5" s="15" t="s">
        <v>683</v>
      </c>
      <c r="C5" s="28" t="n">
        <v>1</v>
      </c>
      <c r="D5" s="15" t="s">
        <v>684</v>
      </c>
      <c r="E5" s="28" t="n">
        <v>3</v>
      </c>
      <c r="F5" s="15" t="s">
        <v>685</v>
      </c>
      <c r="G5" s="15" t="s">
        <v>686</v>
      </c>
      <c r="H5" s="15" t="s">
        <v>687</v>
      </c>
      <c r="I5" s="29" t="n">
        <v>46447</v>
      </c>
      <c r="J5" s="15" t="s">
        <v>688</v>
      </c>
      <c r="K5" s="15" t="s">
        <v>689</v>
      </c>
      <c r="L5" s="15" t="s">
        <v>690</v>
      </c>
      <c r="M5" s="28" t="s">
        <v>691</v>
      </c>
      <c r="N5" s="15" t="s">
        <v>692</v>
      </c>
      <c r="O5" s="15" t="s">
        <v>693</v>
      </c>
    </row>
    <row r="6" customFormat="false" ht="150" hidden="false" customHeight="true" outlineLevel="0" collapsed="false">
      <c r="A6" s="15" t="s">
        <v>45</v>
      </c>
      <c r="B6" s="15" t="s">
        <v>694</v>
      </c>
      <c r="C6" s="28" t="n">
        <v>1</v>
      </c>
      <c r="D6" s="15" t="s">
        <v>695</v>
      </c>
      <c r="E6" s="28" t="n">
        <v>3</v>
      </c>
      <c r="F6" s="15" t="s">
        <v>696</v>
      </c>
      <c r="G6" s="15" t="s">
        <v>697</v>
      </c>
      <c r="H6" s="15" t="s">
        <v>698</v>
      </c>
      <c r="I6" s="29" t="n">
        <v>46387</v>
      </c>
      <c r="J6" s="15" t="s">
        <v>699</v>
      </c>
      <c r="K6" s="15" t="s">
        <v>700</v>
      </c>
      <c r="L6" s="15" t="s">
        <v>701</v>
      </c>
      <c r="M6" s="28" t="s">
        <v>702</v>
      </c>
      <c r="N6" s="15" t="s">
        <v>703</v>
      </c>
      <c r="O6" s="15" t="s">
        <v>704</v>
      </c>
    </row>
    <row r="7" customFormat="false" ht="150" hidden="false" customHeight="true" outlineLevel="0" collapsed="false">
      <c r="A7" s="15" t="s">
        <v>48</v>
      </c>
      <c r="B7" s="15" t="s">
        <v>705</v>
      </c>
      <c r="C7" s="28" t="n">
        <v>2</v>
      </c>
      <c r="D7" s="15" t="s">
        <v>706</v>
      </c>
      <c r="E7" s="28" t="n">
        <v>3</v>
      </c>
      <c r="F7" s="15" t="s">
        <v>707</v>
      </c>
      <c r="G7" s="15" t="s">
        <v>708</v>
      </c>
      <c r="H7" s="15" t="s">
        <v>709</v>
      </c>
      <c r="I7" s="29" t="n">
        <v>46387</v>
      </c>
      <c r="J7" s="15" t="s">
        <v>710</v>
      </c>
      <c r="K7" s="15" t="s">
        <v>711</v>
      </c>
      <c r="L7" s="15" t="s">
        <v>712</v>
      </c>
      <c r="M7" s="28" t="s">
        <v>702</v>
      </c>
      <c r="N7" s="15" t="s">
        <v>713</v>
      </c>
      <c r="O7" s="15" t="s">
        <v>714</v>
      </c>
    </row>
    <row r="8" customFormat="false" ht="150" hidden="false" customHeight="true" outlineLevel="0" collapsed="false">
      <c r="A8" s="15" t="s">
        <v>51</v>
      </c>
      <c r="B8" s="15" t="s">
        <v>715</v>
      </c>
      <c r="C8" s="28" t="n">
        <v>1</v>
      </c>
      <c r="D8" s="15" t="s">
        <v>716</v>
      </c>
      <c r="E8" s="28" t="n">
        <v>3</v>
      </c>
      <c r="F8" s="15" t="s">
        <v>717</v>
      </c>
      <c r="G8" s="15" t="s">
        <v>718</v>
      </c>
      <c r="H8" s="15" t="s">
        <v>719</v>
      </c>
      <c r="I8" s="29" t="n">
        <v>46387</v>
      </c>
      <c r="J8" s="15" t="s">
        <v>720</v>
      </c>
      <c r="K8" s="15" t="s">
        <v>721</v>
      </c>
      <c r="L8" s="15" t="s">
        <v>722</v>
      </c>
      <c r="M8" s="28" t="s">
        <v>691</v>
      </c>
      <c r="N8" s="15" t="s">
        <v>723</v>
      </c>
      <c r="O8" s="15" t="s">
        <v>724</v>
      </c>
    </row>
    <row r="9" customFormat="false" ht="150" hidden="false" customHeight="true" outlineLevel="0" collapsed="false">
      <c r="A9" s="15" t="s">
        <v>54</v>
      </c>
      <c r="B9" s="15" t="s">
        <v>725</v>
      </c>
      <c r="C9" s="28" t="n">
        <v>1</v>
      </c>
      <c r="D9" s="15" t="s">
        <v>726</v>
      </c>
      <c r="E9" s="28" t="n">
        <v>3</v>
      </c>
      <c r="F9" s="15" t="s">
        <v>727</v>
      </c>
      <c r="G9" s="15" t="s">
        <v>728</v>
      </c>
      <c r="H9" s="15" t="s">
        <v>729</v>
      </c>
      <c r="I9" s="29" t="n">
        <v>46568</v>
      </c>
      <c r="J9" s="15" t="s">
        <v>730</v>
      </c>
      <c r="K9" s="15" t="s">
        <v>731</v>
      </c>
      <c r="L9" s="15" t="s">
        <v>732</v>
      </c>
      <c r="M9" s="28" t="s">
        <v>702</v>
      </c>
      <c r="N9" s="15" t="s">
        <v>733</v>
      </c>
      <c r="O9" s="15" t="s">
        <v>734</v>
      </c>
    </row>
    <row r="10" customFormat="false" ht="150" hidden="false" customHeight="true" outlineLevel="0" collapsed="false">
      <c r="A10" s="15" t="s">
        <v>735</v>
      </c>
      <c r="B10" s="15" t="s">
        <v>736</v>
      </c>
      <c r="C10" s="28" t="n">
        <v>3</v>
      </c>
      <c r="D10" s="15" t="s">
        <v>737</v>
      </c>
      <c r="E10" s="28" t="n">
        <v>5</v>
      </c>
      <c r="F10" s="15" t="s">
        <v>738</v>
      </c>
      <c r="G10" s="15" t="s">
        <v>739</v>
      </c>
      <c r="H10" s="15" t="s">
        <v>729</v>
      </c>
      <c r="I10" s="29" t="n">
        <v>46568</v>
      </c>
      <c r="J10" s="15" t="s">
        <v>740</v>
      </c>
      <c r="K10" s="15" t="s">
        <v>741</v>
      </c>
      <c r="L10" s="15" t="s">
        <v>742</v>
      </c>
      <c r="M10" s="28" t="s">
        <v>691</v>
      </c>
      <c r="N10" s="15" t="s">
        <v>743</v>
      </c>
      <c r="O10" s="15" t="s">
        <v>744</v>
      </c>
    </row>
    <row r="11" customFormat="false" ht="150" hidden="false" customHeight="true" outlineLevel="0" collapsed="false">
      <c r="A11" s="15" t="s">
        <v>56</v>
      </c>
      <c r="B11" s="15" t="s">
        <v>745</v>
      </c>
      <c r="C11" s="28"/>
      <c r="D11" s="15" t="s">
        <v>746</v>
      </c>
      <c r="E11" s="28"/>
      <c r="F11" s="15" t="s">
        <v>741</v>
      </c>
      <c r="G11" s="15"/>
      <c r="H11" s="15"/>
      <c r="I11" s="28"/>
      <c r="J11" s="15"/>
      <c r="K11" s="15"/>
      <c r="L11" s="15" t="s">
        <v>741</v>
      </c>
      <c r="M11" s="28"/>
      <c r="N11" s="15" t="s">
        <v>741</v>
      </c>
      <c r="O11" s="15"/>
    </row>
    <row r="13" customFormat="false" ht="45" hidden="false" customHeight="true" outlineLevel="0" collapsed="false">
      <c r="A13" s="2" t="s">
        <v>747</v>
      </c>
      <c r="B13" s="2"/>
      <c r="C13" s="2"/>
      <c r="D13" s="2"/>
      <c r="E13" s="2"/>
      <c r="F13" s="2"/>
      <c r="G13" s="2"/>
      <c r="H13" s="2"/>
      <c r="I13" s="2"/>
      <c r="J13" s="2"/>
      <c r="K13" s="2"/>
      <c r="L13" s="2"/>
      <c r="M13" s="2"/>
      <c r="N13" s="2"/>
      <c r="O13" s="2"/>
    </row>
    <row r="14" customFormat="false" ht="39.75" hidden="false" customHeight="true" outlineLevel="0" collapsed="false">
      <c r="A14" s="2" t="s">
        <v>748</v>
      </c>
      <c r="B14" s="2"/>
      <c r="C14" s="2"/>
      <c r="D14" s="2"/>
      <c r="E14" s="2"/>
      <c r="F14" s="2"/>
      <c r="G14" s="2"/>
      <c r="H14" s="2"/>
      <c r="I14" s="2"/>
      <c r="J14" s="2"/>
      <c r="K14" s="2"/>
      <c r="L14" s="2"/>
      <c r="M14" s="2"/>
      <c r="N14" s="2"/>
      <c r="O14" s="2"/>
    </row>
  </sheetData>
  <mergeCells count="3">
    <mergeCell ref="A2:N2"/>
    <mergeCell ref="A13:O13"/>
    <mergeCell ref="A14:O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2026-10-06T19:19:01Z</dcterms:created>
  <dc:creator>openpyxl</dc:creator>
  <dc:description/>
  <dc:language>en-US</dc:language>
  <cp:lastModifiedBy/>
  <dcterms:modified xsi:type="dcterms:W3CDTF">2026-10-06T19:19:01Z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