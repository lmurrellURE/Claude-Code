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Detail!$A$6:$AA$187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<sst xmlns="http://schemas.openxmlformats.org/spreadsheetml/2006/main" count="1668" uniqueCount="727">
  <si>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</si>
  <si>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</si>
  <si>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</si>
  <si>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</si>
  <si>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</si>
  <si>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</si>
  <si>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</si>
  <si>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</si>
  <si>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</si>
  <si>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State (confirm)</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</si>
  <si>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</si>
  <si>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</si>
  <si>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</si>
  <si>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</si>
  <si>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</si>
  <si>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</si>
  <si>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</si>
  <si>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</si>
  <si>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</si>
  <si>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</si>
  <si>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</si>
  <si>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</si>
  <si>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</si>
  <si>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</si>
  <si>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</si>
  <si>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</si>
  <si>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</si>
  <si>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</si>
  <si>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</si>
  <si>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</si>
  <si>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</si>
  <si>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Likely test given independent-contractor agents</t>
  </si>
  <si>
    <t xml:space="preserve">Dormant today - LIKELY test - likely-commission + memo-flagged</t>
  </si>
  <si>
    <t xml:space="preserve">Dormant at next report cutoff - LIKELY test - likely-commission + memo-flagged</t>
  </si>
  <si>
    <t xml:space="preserve">Oldest item</t>
  </si>
  <si>
    <t xml:space="preserve">Entity-state note</t>
  </si>
  <si>
    <t xml:space="preserve">Dallas</t>
  </si>
  <si>
    <t xml:space="preserve">TX</t>
  </si>
  <si>
    <t xml:space="preserve">Confirmed by user 10/6/2026: Texas. ICA names 'URE Dallas LLC dba United Real Estate'. User believes the LLC was formed in Texas and is confirming; if so the office state governs unknown-agent items too.</t>
  </si>
  <si>
    <t xml:space="preserve">Houston</t>
  </si>
  <si>
    <t xml:space="preserve">Confirmed by user 10/6/2026: Texas. ICA names 'URE Houston LLC d/b/a United Real Estate'. User believes the LLC was formed in Texas and is confirming; if so the office state governs unknown-agent items too.</t>
  </si>
  <si>
    <t xml:space="preserve">TUR</t>
  </si>
  <si>
    <t xml:space="preserve">Confirmed by user 10/6/2026: Texas. Sign-up docs name 'Quick-Close Properties, LLC dba Texas United Realty' (TREC 599460). User believes the LLC was formed in Texas and is confirming; if so the office state governs unknown-agent items too.</t>
  </si>
  <si>
    <t xml:space="preserve">Chicago</t>
  </si>
  <si>
    <t xml:space="preserve">IL</t>
  </si>
  <si>
    <t xml:space="preserve">Confirmed by user 10/6/2026: Illinois. ICA names 'URE Chicago LLC dba United Real Estate - Chicago'. User believes the LLC was formed in Illinois and is confirming; if so the office state governs unknown-agent items too.</t>
  </si>
  <si>
    <t xml:space="preserve">Philly</t>
  </si>
  <si>
    <t xml:space="preserve">PA</t>
  </si>
  <si>
    <t xml:space="preserve">Confirmed by user 10/6/2026: Pennsylvania. PA ICA names only 'United Real Estate'; legal entity not yet provided. User believes the LLC was formed in Pennsylvania and is confirming.</t>
  </si>
  <si>
    <t xml:space="preserve">Gallery</t>
  </si>
  <si>
    <t xml:space="preserve">FL</t>
  </si>
  <si>
    <t xml:space="preserve">Confirmed by user 10/6/2026: Florida. User believes the LLC was formed in Florida and is confirming.</t>
  </si>
  <si>
    <t xml:space="preserve">Leading Edge</t>
  </si>
  <si>
    <t xml:space="preserve">AL</t>
  </si>
  <si>
    <t xml:space="preserve">Confirmed by user 10/6/2026: Alabama. User believes the LLC was formed in Alabama and is confirming. Leading Edge has its own fee schedule (Summary row 7).</t>
  </si>
  <si>
    <t xml:space="preserve">DC</t>
  </si>
  <si>
    <t xml:space="preserve">Tab exists in workbook with $0 accrued balance; user did not list DC. No DC rules researched.</t>
  </si>
  <si>
    <t xml:space="preserve">TOTAL</t>
  </si>
  <si>
    <t xml:space="preserve">How to read this</t>
  </si>
  <si>
    <t xml:space="preserve">Classification (Detail col N) uses the fee amounts in rows 4-7 and the threshold in B8: an exact fee amount = presumed company revenue (keep; book to revenue, not unclaimed property).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</si>
  <si>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</si>
  <si>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per state now that agents are confirmed to be independent contractors (Texas and Florida: LONG; Illinois, Pennsylvania, Alabama: SHORT), and columns Y-Z apply it. See State Rules cols M-N for the reasoning; it is a legal judgment for counsel to confirm.</t>
  </si>
  <si>
    <t xml:space="preserve">Unknown agent = second priority rule. The user confirmed that many older checks cannot be tied to an agent. Those items do not become the company's; they are reportable to the state where the holding LLC was formed (still to be provided). If an LLC is formed in its office state, nothing changes; if formed elsewhere (e.g. Missouri or Delaware), that state's rules and report cycle apply to the unknown-owner items.</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</si>
  <si>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</si>
  <si>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and due-diligence rules on the State Rules tab were sourced from statute summaries and state guidance found by web search; the statute pages themselves could not be opened from this session. Have counsel or your unclaimed-property advisor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</si>
  <si>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</si>
  <si>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</si>
  <si>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</si>
  <si>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</si>
  <si>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</si>
  <si>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</si>
  <si>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</si>
  <si>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</si>
  <si>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</si>
  <si>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</si>
  <si>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</si>
  <si>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</si>
  <si>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</si>
  <si>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</si>
  <si>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</si>
  <si>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</si>
  <si>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</si>
  <si>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</si>
  <si>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</si>
  <si>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</si>
  <si>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</si>
  <si>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</si>
  <si>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</si>
  <si>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</si>
  <si>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</si>
  <si>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</si>
  <si>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</si>
  <si>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</si>
  <si>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</si>
  <si>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</si>
  <si>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</si>
  <si>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</si>
  <si>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</si>
  <si>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</si>
  <si>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</si>
  <si>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</si>
  <si>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</si>
  <si>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</si>
  <si>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</si>
  <si>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</si>
  <si>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</si>
  <si>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</si>
  <si>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</si>
  <si>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</si>
  <si>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</si>
  <si>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</si>
  <si>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</si>
  <si>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</si>
  <si>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</si>
  <si>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</si>
  <si>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</si>
  <si>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</si>
  <si>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</si>
  <si>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</si>
  <si>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</si>
  <si>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</si>
  <si>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</si>
  <si>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</si>
  <si>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</si>
  <si>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</si>
  <si>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</si>
  <si>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</si>
  <si>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</si>
  <si>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</si>
  <si>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</si>
  <si>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</si>
  <si>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</si>
  <si>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</si>
  <si>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</si>
  <si>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</si>
  <si>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</si>
  <si>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</si>
  <si>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</si>
  <si>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</si>
  <si>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</si>
  <si>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</si>
  <si>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</si>
  <si>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</si>
  <si>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</si>
  <si>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</si>
  <si>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</si>
  <si>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</si>
  <si>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</si>
  <si>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</si>
  <si>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</si>
  <si>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</si>
  <si>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</si>
  <si>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</si>
  <si>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</si>
  <si>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</si>
  <si>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</si>
  <si>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</si>
  <si>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</si>
  <si>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</si>
  <si>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</si>
  <si>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</si>
  <si>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</si>
  <si>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</si>
  <si>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</si>
  <si>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</si>
  <si>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</si>
  <si>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</si>
  <si>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</si>
  <si>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</si>
  <si>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</si>
  <si>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</si>
  <si>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</si>
  <si>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</si>
  <si>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</si>
  <si>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</si>
  <si>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</si>
  <si>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</si>
  <si>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</si>
  <si>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</si>
  <si>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</si>
  <si>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</si>
  <si>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</si>
  <si>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</si>
  <si>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</si>
  <si>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</si>
  <si>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</si>
  <si>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</si>
  <si>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</si>
  <si>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</si>
  <si>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</si>
  <si>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</si>
  <si>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</si>
  <si>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</si>
  <si>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</si>
  <si>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</si>
  <si>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</si>
  <si>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</si>
  <si>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</si>
  <si>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</si>
  <si>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</si>
  <si>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</si>
  <si>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</si>
  <si>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</si>
  <si>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</si>
  <si>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</si>
  <si>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</si>
  <si>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</si>
  <si>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</si>
  <si>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</si>
  <si>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</si>
  <si>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</si>
  <si>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</si>
  <si>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</si>
  <si>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</si>
  <si>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</si>
  <si>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</si>
  <si>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</si>
  <si>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</si>
  <si>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</si>
  <si>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</si>
  <si>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</si>
  <si>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</si>
  <si>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</si>
  <si>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</si>
  <si>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</si>
  <si>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</si>
  <si>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</si>
  <si>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</si>
  <si>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</si>
  <si>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</si>
  <si>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</si>
  <si>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</si>
  <si>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</si>
  <si>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</si>
  <si>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</si>
  <si>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</si>
  <si>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</si>
  <si>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</si>
  <si>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</si>
  <si>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</si>
  <si>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</si>
  <si>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</si>
  <si>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</si>
  <si>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</si>
  <si>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</si>
  <si>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</si>
  <si>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</si>
  <si>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</si>
  <si>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</si>
  <si>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</si>
  <si>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</si>
  <si>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</si>
  <si>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</si>
  <si>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</si>
  <si>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</si>
  <si>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</si>
  <si>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</si>
  <si>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</si>
  <si>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</si>
  <si>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</si>
  <si>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</si>
  <si>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</si>
  <si>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</si>
  <si>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</si>
  <si>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</si>
  <si>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</si>
  <si>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</si>
  <si>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</si>
  <si>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</si>
  <si>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</si>
  <si>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</si>
  <si>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</si>
  <si>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</si>
  <si>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</si>
  <si>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</si>
  <si>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</si>
  <si>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</si>
  <si>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</si>
  <si>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</si>
  <si>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</si>
  <si>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</si>
  <si>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</si>
  <si>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</si>
  <si>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</si>
  <si>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</si>
  <si>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</si>
  <si>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</si>
  <si>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</si>
  <si>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</si>
  <si>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</si>
  <si>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</si>
  <si>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</si>
  <si>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</si>
  <si>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</si>
  <si>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</si>
  <si>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</si>
  <si>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</si>
  <si>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</si>
  <si>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</si>
  <si>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</si>
  <si>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</si>
  <si>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</si>
  <si>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</si>
  <si>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</si>
  <si>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</si>
  <si>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</si>
  <si>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</si>
  <si>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</si>
  <si>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</si>
  <si>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</si>
  <si>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</si>
  <si>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</si>
  <si>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</si>
  <si>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</si>
  <si>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</si>
  <si>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</si>
  <si>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</si>
  <si>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</si>
  <si>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</si>
  <si>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</si>
  <si>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</si>
  <si>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</si>
  <si>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</si>
  <si>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</si>
  <si>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</si>
  <si>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</si>
  <si>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</si>
  <si>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</si>
  <si>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</si>
  <si>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</si>
  <si>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</si>
  <si>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</si>
  <si>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</si>
  <si>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</si>
  <si>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</si>
  <si>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</si>
  <si>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</si>
  <si>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</si>
  <si>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</si>
  <si>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</si>
  <si>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</si>
  <si>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</si>
  <si>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</si>
  <si>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</si>
  <si>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</si>
  <si>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</si>
  <si>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</si>
  <si>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</si>
  <si>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</si>
  <si>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</si>
  <si>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</si>
  <si>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</si>
  <si>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</si>
  <si>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</si>
  <si>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</si>
  <si>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</si>
  <si>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</si>
  <si>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</si>
  <si>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</si>
  <si>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</si>
  <si>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</si>
  <si>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</si>
  <si>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</si>
  <si>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</si>
  <si>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</si>
  <si>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</si>
  <si>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</si>
  <si>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</si>
  <si>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</si>
  <si>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</si>
  <si>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</si>
  <si>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</si>
  <si>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</si>
  <si>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</si>
  <si>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</si>
  <si>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</si>
  <si>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</si>
  <si>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</si>
  <si>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</si>
  <si>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</si>
  <si>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</si>
  <si>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</si>
  <si>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</si>
  <si>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</si>
  <si>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</si>
  <si>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</si>
  <si>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</si>
  <si>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</si>
  <si>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</si>
  <si>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</si>
  <si>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</si>
  <si>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</si>
  <si>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</si>
  <si>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</si>
  <si>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</si>
  <si>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</si>
  <si>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</si>
  <si>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</si>
  <si>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</si>
  <si>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</si>
  <si>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</si>
  <si>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</si>
  <si>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</si>
  <si>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</si>
  <si>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</si>
  <si>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</si>
  <si>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</si>
  <si>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</si>
  <si>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</si>
  <si>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</si>
  <si>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</si>
  <si>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</si>
  <si>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</si>
  <si>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</si>
  <si>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</si>
  <si>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</si>
  <si>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</si>
  <si>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</si>
  <si>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</si>
  <si>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</si>
  <si>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</si>
  <si>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</si>
  <si>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</si>
  <si>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</si>
  <si>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</si>
  <si>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</si>
  <si>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</si>
  <si>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</si>
  <si>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</si>
  <si>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</si>
  <si>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</si>
  <si>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</si>
  <si>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</si>
  <si>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</si>
  <si>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</si>
  <si>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</si>
  <si>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</si>
  <si>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</si>
  <si>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</si>
  <si>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</si>
  <si>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</si>
  <si>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</si>
  <si>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</si>
  <si>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</si>
  <si>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</si>
  <si>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</si>
  <si>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</si>
  <si>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</si>
  <si>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</si>
  <si>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</si>
  <si>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</si>
  <si>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</si>
  <si>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</si>
  <si>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</si>
  <si>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</si>
  <si>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</si>
  <si>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</si>
  <si>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</si>
  <si>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</si>
  <si>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</si>
  <si>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</si>
  <si>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</si>
  <si>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</si>
  <si>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</si>
  <si>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</si>
  <si>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</si>
  <si>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</si>
  <si>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</si>
  <si>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</si>
  <si>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</si>
  <si>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</si>
  <si>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</si>
  <si>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</si>
  <si>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</si>
  <si>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</si>
  <si>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</si>
  <si>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</si>
  <si>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</si>
  <si>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</si>
  <si>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</si>
  <si>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</si>
  <si>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</si>
  <si>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</si>
  <si>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</si>
  <si>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</si>
  <si>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</si>
  <si>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</si>
  <si>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</si>
  <si>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</si>
  <si>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</si>
  <si>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</si>
  <si>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</si>
  <si>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</si>
  <si>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</si>
  <si>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</si>
  <si>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</si>
  <si>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</si>
  <si>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</si>
  <si>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</si>
  <si>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</si>
  <si>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</si>
  <si>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</si>
  <si>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DATA GAP: state of formation for each LLC</t>
  </si>
  <si>
    <t xml:space="preserve">User confirmed each office is an LLC but not where each was formed. This decides where every unknown-agent item is reported and which state's voluntary disclosure program to approach. 'Corporate HQ in Kansas City' is not the test.</t>
  </si>
  <si>
    <t xml:space="preserve">Legal / entity org chart.</t>
  </si>
  <si>
    <t xml:space="preserve">RESOLVED: entity-to-state mapping</t>
  </si>
  <si>
    <t xml:space="preserve">User confirmed 10/6/2026: Dallas, Houston, TUR = Texas; Chicago = Illinois; Philly = Pennsylvania; Leading Edge = Alabama; Gallery = Florida.</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</si>
  <si>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</si>
  <si>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</si>
  <si>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</si>
  <si>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</si>
  <si>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</si>
  <si>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Texas' 1-year rule applies to 'wages' as defined in Labor Code 61.001, which excludes independent contractors, so the 3-year general rule is the likely Texas test. Illinois and Alabama reach 'other compensation for personal services' and Pennsylvania lists commissions, so their shorter periods likely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</si>
  <si>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</si>
  <si>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</si>
  <si>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</si>
  <si>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</si>
  <si>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Alabama's act (and, per secondary sources, most states' acts) says a contractual limitation on the owner's right does not prevent property from being presumed abandoned. Whether Texas, Pennsylvania, Illinois or Florida would honor these clauses against an escheat claim is for counsel. Do not treat a forfeiture as the company's money until counsel says so AND the triggering facts (closing date, file status at day 60, termination date) are documented per item.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</si>
  <si>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</si>
  <si>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</si>
  <si>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</si>
  <si>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</si>
  <si>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</si>
  <si>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</si>
  <si>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</si>
  <si>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</si>
  <si>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</si>
  <si>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</si>
  <si>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</si>
  <si>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</si>
  <si>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</si>
  <si>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</si>
  <si>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</si>
  <si>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(TX: &gt;$250, 60+ days before delivery; PA/IL/FL/AL/MO: $50 threshold per sources).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</si>
  <si>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</si>
  <si>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</si>
  <si>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a VDA but it must be requested before any Comptroller inquiry. Florida has a similar program. Confirm eligibility with the Comptroller or counsel.</t>
  </si>
  <si>
    <t xml:space="preserve">Counsel / Comptroller.</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</si>
  <si>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</si>
  <si>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</si>
  <si>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</si>
  <si>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</si>
  <si>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</si>
  <si>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NOT VERIFIED in this session</t>
  </si>
  <si>
    <t xml:space="preserve">Statute and state-treasury web pages were blocked by this session's network policy, so every rule on the State Rules tab rests on search-engine summaries of those pages and on secondary sources (Sovos, UPPO, law-firm alerts). Specific items I could not confirm: Illinois business-holder report deadline; PA December 31 cutoff and VDA terms; FL and AL due-diligence thresholds; MO VDA. Treat the State Rules tab as a starting point for counsel, not a filing position.</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</si>
  <si>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</si>
  <si>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</si>
  <si>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</si>
  <si>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</si>
  <si>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</si>
  <si>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</si>
  <si>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</si>
  <si>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</si>
  <si>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</si>
  <si>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</si>
  <si>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</si>
  <si>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</si>
  <si>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</si>
  <si>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</si>
  <si>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</si>
  <si>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</si>
  <si>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</si>
  <si>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</si>
  <si>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</si>
  <si>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</si>
  <si>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</si>
  <si>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</si>
  <si>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</si>
  <si>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</si>
  <si>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</si>
  <si>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</si>
  <si>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</si>
  <si>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</si>
  <si>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</si>
  <si>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</si>
  <si>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</si>
  <si>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</si>
  <si>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</si>
  <si>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</si>
  <si>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</si>
  <si>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</si>
  <si>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</si>
  <si>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</si>
  <si>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</si>
  <si>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</si>
  <si>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</si>
  <si>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</si>
  <si>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</si>
  <si>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</si>
  <si>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</si>
  <si>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</si>
  <si>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</si>
  <si>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</si>
  <si>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</si>
  <si>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</si>
  <si>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</si>
  <si>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</si>
  <si>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</si>
  <si>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</si>
  <si>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</si>
  <si>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</si>
  <si>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</si>
  <si>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</si>
  <si>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</si>
  <si>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</si>
  <si>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</si>
  <si>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</si>
  <si>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</si>
  <si>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</si>
  <si>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</si>
  <si>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</si>
  <si>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</si>
  <si>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</si>
  <si>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</si>
  <si>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</si>
  <si>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</si>
  <si>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</si>
  <si>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</si>
  <si>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</si>
  <si>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</si>
  <si>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</si>
  <si>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</si>
  <si>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</si>
  <si>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</si>
  <si>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</si>
  <si>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</si>
  <si>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</si>
  <si>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</si>
  <si>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</si>
  <si>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</si>
  <si>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</si>
  <si>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</si>
  <si>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</si>
  <si>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</si>
  <si>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</si>
  <si>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</si>
  <si>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</si>
  <si>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</si>
  <si>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</si>
  <si>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</si>
  <si>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</si>
  <si>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</si>
  <si>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</si>
  <si>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</si>
  <si>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</si>
  <si>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researched by web search on 10/6/2026. Primary statute pages could not be opened from this session; see the State Rules tab 'Verification status' column for what is and is not confirmed.</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</si>
  <si>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</si>
  <si>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</si>
  <si>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</si>
  <si>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says what could and could not be confirmed from primary sources in this session.</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</si>
  <si>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</si>
  <si>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</si>
  <si>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</si>
  <si>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</si>
  <si>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</si>
  <si>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</si>
  <si>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</si>
  <si>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</si>
  <si>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</si>
  <si>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Likely test for independent-contractor commissions (SHORT/LONG)</t>
  </si>
  <si>
    <t xml:space="preserve">Why</t>
  </si>
  <si>
    <t xml:space="preserve">Sources</t>
  </si>
  <si>
    <t xml:space="preserve">Texas</t>
  </si>
  <si>
    <t xml:space="preserve">Unclaimed 'wages' - Tex. Prop. Code 72.1015 (1 year). 'Wages' takes its meaning from Labor Code 61.001, which covers compensation owed by an EMPLOYER to an EMPLOYEE and excludes independent contractors. Independent-contractor agent commissions therefore likely fall under the general rule, not the 1-year rule - confirm with counsel / Comptroller.</t>
  </si>
  <si>
    <t xml:space="preserve">General personal property - Tex. Prop. Code 72.101(a): presumed abandoned after more than 3 years with owner location unknown and no claim/act of ownership.</t>
  </si>
  <si>
    <t xml:space="preserve">July 1 (Tex. Prop. Code 74.101)</t>
  </si>
  <si>
    <t xml:space="preserve">March 1 (property held on March 1 is reported the following July 1)</t>
  </si>
  <si>
    <t xml:space="preserve">Notice to owner by mail/e-mail at least 60 days before delivery for property over $250 (Tex. Prop. Code 74.1011).</t>
  </si>
  <si>
    <t xml:space="preserve">Comptroller offers a Voluntary Disclosure Agreement with waiver of penalty and interest; not available once an investigation has started or (per secondary sources) to holders who have filed Texas reports before.</t>
  </si>
  <si>
    <t xml:space="preserve">Dormancy periods, report date, and due-diligence rule confirmed from search summaries of the statute text; statute pages themselves were blocked by this session's network policy. No business-to-business exemption was found for Texas.</t>
  </si>
  <si>
    <t xml:space="preserve">LONG</t>
  </si>
  <si>
    <t xml:space="preserve">Agents are independent contractors (confirmed by user). Texas' 1-year rule covers 'wages' as defined in Labor Code 61.001, which is limited to employer-to-employee compensation and expressly excludes independent contractors. The 3-year general rule is therefore the likely test. Confirm with counsel; some advisors report commissions under NAUPA code MS02 conservatively on the shorter period.</t>
  </si>
  <si>
    <t xml:space="preserve">https://statutes.capitol.texas.gov/docs/PR/htm/PR.72.htm ; https://statutes.capitol.texas.gov/Docs/PR/htm/PR.74.htm ; https://texas.public.law/statutes/tex._prop._code_section_72.1015 ; https://texas.public.law/statutes/tex._labor_code_section_61.001 ; https://www.comptroller.texas.gov/taxes/publications/96-576.php</t>
  </si>
  <si>
    <t xml:space="preserve">Illinois</t>
  </si>
  <si>
    <t xml:space="preserve">765 ILCS 1026/15-201: 'wages, commissions, bonuses, or reimbursements to which an employee is entitled, or other compensation for personal services' - 1 year after payable. The 'other compensation for personal services' language is broader than Texas and plausibly reaches independent-contractor commissions.</t>
  </si>
  <si>
    <t xml:space="preserve">765 ILCS 1026/15-201 catch-all: all other property 3 years after the obligation to pay arises (per secondary sources).</t>
  </si>
  <si>
    <t xml:space="preserve">November 1 for financial, insurance and government holders (confirmed). Deadline for ordinary business holders NOT confirmed from the statute in this session - the prior Illinois act used May 1 with a December 31 cutoff. CONFIRM.</t>
  </si>
  <si>
    <t xml:space="preserve">June 30 for the November 1 filers; business-holder cutoff NOT confirmed.</t>
  </si>
  <si>
    <t xml:space="preserve">Due-diligence letter by first-class mail for property over $50, sent 60 to 365 days before the report (per Illinois Treasurer guidance summary).</t>
  </si>
  <si>
    <t xml:space="preserve">Not researched in this session.</t>
  </si>
  <si>
    <t xml:space="preserve">Illinois eliminated its business-to-business exemption when it adopted RUUPA (effective 1/1/2018). Chicago's prior-month accrued balance is $0, so Illinois exposure today is only the current-month unbooked deposits.</t>
  </si>
  <si>
    <t xml:space="preserve">SHORT</t>
  </si>
  <si>
    <t xml:space="preserve">Illinois' 1-year rule reaches 'other compensation for personal services', not only employee wages, so independent-contractor commissions plausibly fall under it. 3-year general rule is the fallback.</t>
  </si>
  <si>
    <t xml:space="preserve">https://www.ilga.gov/legislation/ilcs/documents/076510260K15-201.htm ; https://icash.illinoistreasurer.gov/app/faq ; https://www.duanemorris.com/articles/illinois_slides_backward_unclaimed_property_law_0917.html</t>
  </si>
  <si>
    <t xml:space="preserve">Pennsylvania</t>
  </si>
  <si>
    <t xml:space="preserve">Wages / commissions - 2 years per the PA Treasury Dormancy Matrix as summarized in search results (cited there as 72 P.S. 1301.5). NOT verified from the statute text in this session.</t>
  </si>
  <si>
    <t xml:space="preserve">General dormancy period 3 years for most property types (72 P.S. 1301.1 et seq.) per secondary sources.</t>
  </si>
  <si>
    <t xml:space="preserve">April 15</t>
  </si>
  <si>
    <t xml:space="preserve">December 31 (per secondary sources; NOT verified from statute in this session)</t>
  </si>
  <si>
    <t xml:space="preserve">Written notice by first-class mail 60 to 120 days before the April 15 deadline for property of $50 or more with a usable address.</t>
  </si>
  <si>
    <t xml:space="preserve">PA's formal amnesty program ended 10/31/2010. Interest of 12% per year from the date the property was due is cited by secondary sources. Ask PA Treasury about current voluntary compliance terms.</t>
  </si>
  <si>
    <t xml:space="preserve">All PA facts come from secondary summaries (PA Treasury Dormancy Matrix as quoted, Sovos, UPPO). Statute and Treasury pages were blocked in this session.</t>
  </si>
  <si>
    <t xml:space="preserve">PA Treasury's dormancy matrix lists wages/commissions at 2 years without an employee limitation in the sources found. 3-year general rule is the fallback. Not verified from statute text.</t>
  </si>
  <si>
    <t xml:space="preserve">https://www.patreasury.gov/pdf/unclaimed-property/Dormancy-Matrix.pdf ; https://www.patreasury.gov/unclaimed-property/holders/ ; https://sovos.com/tax-reporting/unclaimed-property-laws-by-state/pennsylvania/</t>
  </si>
  <si>
    <t xml:space="preserve">Florida</t>
  </si>
  <si>
    <t xml:space="preserve">Fla. Stat. 717.115: unpaid WAGES owing in the ordinary course of business unclaimed for more than 1 year after becoming payable. Whether independent-contractor commissions are 'wages' here is not settled in the sources found - if not, the 5-year general rule applies.</t>
  </si>
  <si>
    <t xml:space="preserve">Fla. Stat. 717.102(1): general 5-year dormancy period for other intangible property.</t>
  </si>
  <si>
    <t xml:space="preserve">Before May 1, covering the preceding calendar year (Fla. Stat. 717.117)</t>
  </si>
  <si>
    <t xml:space="preserve">December 31</t>
  </si>
  <si>
    <t xml:space="preserve">Report must list owners with property of $50 or more; due-diligence notice requirement in 717.117 (threshold and timing not verified from statute text in this session).</t>
  </si>
  <si>
    <t xml:space="preserve">Florida has a Voluntary Disclosure program: no penalties, 5-year look-back instead of 10, 2-year audit window after acceptance (per secondary summary of Florida DFS program).</t>
  </si>
  <si>
    <t xml:space="preserve">Dormancy periods and report date confirmed from search summaries of the statute; statute pages blocked. Gallery = Florida is an ASSUMPTION.</t>
  </si>
  <si>
    <t xml:space="preserve">Fla. Stat. 717.115 covers 'unpaid wages'. Nothing found extends it to independent-contractor commissions, so the 5-year general rule is the likely test. Confirm with counsel.</t>
  </si>
  <si>
    <t xml:space="preserve">https://www.flsenate.gov/Laws/Statutes/2024/717.115 ; https://www.flsenate.gov/Laws/Statutes/2024/717.102 ; https://flsenate.gov/Laws/Statutes/2024/717.117 ; https://www.fltreasurehunt.gov/Holder.jsp</t>
  </si>
  <si>
    <t xml:space="preserve">Alabama</t>
  </si>
  <si>
    <t xml:space="preserve">Ala. Code 35-12-72: 'wages or other compensation for personal services' presumed abandoned 1 year after the compensation becomes payable. 'Other compensation for personal services' plausibly reaches independent-contractor commissions.</t>
  </si>
  <si>
    <t xml:space="preserve">Ala. Code 35-12-72: all other property 3 years after the owner's right to demand it or the obligation to pay arises, whichever is first.</t>
  </si>
  <si>
    <t xml:space="preserve">November 1, covering the 12 months preceding July 1</t>
  </si>
  <si>
    <t xml:space="preserve">June 30</t>
  </si>
  <si>
    <t xml:space="preserve">Aggregate/reporting threshold $50 per secondary sources; due-diligence notice rule (35-12-77) not verified in this session.</t>
  </si>
  <si>
    <t xml:space="preserve">Dormancy periods confirmed from search summaries of the Code; Code pages blocked. Leading Edge = Alabama is an ASSUMPTION.</t>
  </si>
  <si>
    <t xml:space="preserve">Ala. Code 35-12-72 covers 'wages or other compensation for personal services', so independent-contractor commissions plausibly fall under the 1-year rule. 3-year general rule is the fallback.</t>
  </si>
  <si>
    <t xml:space="preserve">https://law.justia.com/codes/alabama/2023/title-35/chapter-12/article-2/article-2a/section-35-12-72 ; https://treasury.alabama.gov/alabama-treasury-law/unclaimed-property-law/ ; https://unclaimed.org/reporting/alabama/</t>
  </si>
  <si>
    <t xml:space="preserve">MO</t>
  </si>
  <si>
    <t xml:space="preserve">Missouri (HQ / possible state of formation)</t>
  </si>
  <si>
    <t xml:space="preserve">RSMo 447.536 as amended by HB 1075 (2014): payroll/wages dormancy reduced from 5 to 3 years effective 1/1/2015.</t>
  </si>
  <si>
    <t xml:space="preserve">RSMo 447.536: general 5-year dormancy period for most property types.</t>
  </si>
  <si>
    <t xml:space="preserve">November 1</t>
  </si>
  <si>
    <t xml:space="preserve">Due diligence letter required when the owner is due $50 or more (Missouri Treasurer guidance).</t>
  </si>
  <si>
    <t xml:space="preserve">Missouri matters only under the SECOND priority rule (Texas v. New Jersey, 379 U.S. 674 (1965)): property whose owner address is unknown goes to the holder's state of incorporation/formation - which is the entity's formation state, NOT its headquarters city. Missouri also has a business-to-business exclusion (HB 1075, 2014) for checks/credits owed to a business entity in the ordinary course of business.</t>
  </si>
  <si>
    <t xml:space="preserve">Missouri's 3-year rule is for payroll checks; commissions to non-employees would fall under the 5-year general rule. Applies only if an LLC is formed in Missouri and the owner's address is unknown.</t>
  </si>
  <si>
    <t xml:space="preserve">https://revisor.mo.gov/main/OneSection.aspx?section=447.536 ; https://treasurer.mo.gov/UCP/ReportingUnclaimedProperty.aspx ; https://ryan.com/about-ryan/news-and-insights/2014/missouri-legislation-adds-unclaimed-property-business-to-business-exclusions-and-other-changes/</t>
  </si>
  <si>
    <t xml:space="preserve">District of Columbia</t>
  </si>
  <si>
    <t xml:space="preserve">Not researched - DC accrued balance is $0.</t>
  </si>
  <si>
    <t xml:space="preserve">Not researched.</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</si>
  <si>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(still to be provided), not to the office's state and not to Kansas City. Private retention of amounts owed to others ('private escheat') is not permitted by any state; an unknown owner does not make the money the company's.</t>
  </si>
  <si>
    <t xml:space="preserve">Blue = hardcoded inputs you can change.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</si>
</sst>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6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row>
    <row r="11" customFormat="false" ht="35.05" hidden="false" customHeight="false" outlineLevel="0" collapsed="false">
      <c r="A11" s="7" t="s">
        <v>36</v>
      </c>
      <c r="B11" s="8" t="s">
        <v>37</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10" t="n">
        <f aca="false">IF(X11="SHORT",T11,IF(X11="LONG",U11,0))</f>
        <v>6707.8</v>
      </c>
      <c r="Z11" s="10" t="n">
        <f aca="false">IF(X11="SHORT",V11,IF(X11="LONG",W11,0))</f>
        <v>8042.3</v>
      </c>
      <c r="AA11" s="13" t="n">
        <f aca="false">IF(F11=0,"",_xlfn.MINIFS(Detail!$E$7:$E$400,Detail!$A$7:$A$400,$A11))</f>
        <v>44988</v>
      </c>
      <c r="AB11" s="14" t="s">
        <v>38</v>
      </c>
    </row>
    <row r="12" customFormat="false" ht="35.05" hidden="false" customHeight="false" outlineLevel="0" collapsed="false">
      <c r="A12" s="7" t="s">
        <v>39</v>
      </c>
      <c r="B12" s="8" t="s">
        <v>37</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10" t="n">
        <f aca="false">IF(X12="SHORT",T12,IF(X12="LONG",U12,0))</f>
        <v>5636.6</v>
      </c>
      <c r="Z12" s="10" t="n">
        <f aca="false">IF(X12="SHORT",V12,IF(X12="LONG",W12,0))</f>
        <v>6011.6</v>
      </c>
      <c r="AA12" s="13" t="n">
        <f aca="false">IF(F12=0,"",_xlfn.MINIFS(Detail!$E$7:$E$400,Detail!$A$7:$A$400,$A12))</f>
        <v>44592</v>
      </c>
      <c r="AB12" s="14" t="s">
        <v>40</v>
      </c>
    </row>
    <row r="13" customFormat="false" ht="46.25" hidden="false" customHeight="false" outlineLevel="0" collapsed="false">
      <c r="A13" s="7" t="s">
        <v>41</v>
      </c>
      <c r="B13" s="8" t="s">
        <v>37</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10" t="n">
        <f aca="false">IF(X13="SHORT",T13,IF(X13="LONG",U13,0))</f>
        <v>644</v>
      </c>
      <c r="Z13" s="10" t="n">
        <f aca="false">IF(X13="SHORT",V13,IF(X13="LONG",W13,0))</f>
        <v>2373.5</v>
      </c>
      <c r="AA13" s="13" t="n">
        <f aca="false">IF(F13=0,"",_xlfn.MINIFS(Detail!$E$7:$E$400,Detail!$A$7:$A$400,$A13))</f>
        <v>44951</v>
      </c>
      <c r="AB13" s="14" t="s">
        <v>42</v>
      </c>
    </row>
    <row r="14" customFormat="false" ht="46.25" hidden="false" customHeight="false" outlineLevel="0" collapsed="false">
      <c r="A14" s="7" t="s">
        <v>43</v>
      </c>
      <c r="B14" s="8" t="s">
        <v>44</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SHORT</v>
      </c>
      <c r="Y14" s="10" t="n">
        <f aca="false">IF(X14="SHORT",T14,IF(X14="LONG",U14,0))</f>
        <v>0</v>
      </c>
      <c r="Z14" s="10" t="n">
        <f aca="false">IF(X14="SHORT",V14,IF(X14="LONG",W14,0))</f>
        <v>0</v>
      </c>
      <c r="AA14" s="13" t="str">
        <f aca="false">IF(F14=0,"",_xlfn.MINIFS(Detail!$E$7:$E$400,Detail!$A$7:$A$400,$A14))</f>
        <v/>
      </c>
      <c r="AB14" s="14" t="s">
        <v>45</v>
      </c>
    </row>
    <row r="15" customFormat="false" ht="35.05" hidden="false" customHeight="false" outlineLevel="0" collapsed="false">
      <c r="A15" s="7" t="s">
        <v>46</v>
      </c>
      <c r="B15" s="8" t="s">
        <v>47</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2</v>
      </c>
      <c r="Q15" s="12" t="n">
        <f aca="false">IFERROR(INDEX('State Rules'!$E$5:$E$11,MATCH($B15,'State Rules'!$A$5:$A$11,0)),"")</f>
        <v>3</v>
      </c>
      <c r="R15" s="9" t="n">
        <f aca="false">SUMIFS(Detail!$H:$H,Detail!$A:$A,$A15,Detail!$P:$P,"&lt;="&amp;$B$3)</f>
        <v>10700.41</v>
      </c>
      <c r="S15" s="9" t="n">
        <f aca="false">SUMIFS(Detail!$H:$H,Detail!$A:$A,$A15,Detail!$Q:$Q,"&lt;="&amp;$B$3)</f>
        <v>419.35</v>
      </c>
      <c r="T15" s="9" t="n">
        <f aca="false">SUMIFS(Detail!$AA:$AA,Detail!$A:$A,$A15,Detail!$P:$P,"&lt;="&amp;$B$3)</f>
        <v>8566.41</v>
      </c>
      <c r="U15" s="9" t="n">
        <f aca="false">SUMIFS(Detail!$AA:$AA,Detail!$A:$A,$A15,Detail!$Q:$Q,"&lt;="&amp;$B$3)</f>
        <v>419.35</v>
      </c>
      <c r="V15" s="9" t="n">
        <f aca="false">SUMIFS(Detail!$AA:$AA,Detail!$A:$A,$A15,Detail!$R:$R,"Yes")</f>
        <v>12172.66</v>
      </c>
      <c r="W15" s="9" t="n">
        <f aca="false">SUMIFS(Detail!$AA:$AA,Detail!$A:$A,$A15,Detail!$S:$S,"Yes")</f>
        <v>419.35</v>
      </c>
      <c r="X15" s="12" t="str">
        <f aca="false">IFERROR(INDEX('State Rules'!$M$5:$M$11,MATCH($B15,'State Rules'!$A$5:$A$11,0)),"")</f>
        <v>SHORT</v>
      </c>
      <c r="Y15" s="10" t="n">
        <f aca="false">IF(X15="SHORT",T15,IF(X15="LONG",U15,0))</f>
        <v>8566.41</v>
      </c>
      <c r="Z15" s="10" t="n">
        <f aca="false">IF(X15="SHORT",V15,IF(X15="LONG",W15,0))</f>
        <v>12172.66</v>
      </c>
      <c r="AA15" s="13" t="n">
        <f aca="false">IF(F15=0,"",_xlfn.MINIFS(Detail!$E$7:$E$400,Detail!$A$7:$A$400,$A15))</f>
        <v>45175</v>
      </c>
      <c r="AB15" s="14" t="s">
        <v>48</v>
      </c>
    </row>
    <row r="16" customFormat="false" ht="23.85" hidden="false" customHeight="false" outlineLevel="0" collapsed="false">
      <c r="A16" s="7" t="s">
        <v>49</v>
      </c>
      <c r="B16" s="8" t="s">
        <v>50</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5</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10" t="n">
        <f aca="false">IF(X16="SHORT",T16,IF(X16="LONG",U16,0))</f>
        <v>0</v>
      </c>
      <c r="Z16" s="10" t="n">
        <f aca="false">IF(X16="SHORT",V16,IF(X16="LONG",W16,0))</f>
        <v>0</v>
      </c>
      <c r="AA16" s="13" t="n">
        <f aca="false">IF(F16=0,"",_xlfn.MINIFS(Detail!$E$7:$E$400,Detail!$A$7:$A$400,$A16))</f>
        <v>46156</v>
      </c>
      <c r="AB16" s="14" t="s">
        <v>51</v>
      </c>
    </row>
    <row r="17" customFormat="false" ht="35.05" hidden="false" customHeight="false" outlineLevel="0" collapsed="false">
      <c r="A17" s="7" t="s">
        <v>52</v>
      </c>
      <c r="B17" s="8" t="s">
        <v>53</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10" t="n">
        <f aca="false">IF(X17="SHORT",T17,IF(X17="LONG",U17,0))</f>
        <v>0</v>
      </c>
      <c r="Z17" s="10" t="n">
        <f aca="false">IF(X17="SHORT",V17,IF(X17="LONG",W17,0))</f>
        <v>0</v>
      </c>
      <c r="AA17" s="13" t="n">
        <f aca="false">IF(F17=0,"",_xlfn.MINIFS(Detail!$E$7:$E$400,Detail!$A$7:$A$400,$A17))</f>
        <v>46113</v>
      </c>
      <c r="AB17" s="14" t="s">
        <v>54</v>
      </c>
    </row>
    <row r="18" customFormat="false" ht="23.85" hidden="false" customHeight="false" outlineLevel="0" collapsed="false">
      <c r="A18" s="7" t="s">
        <v>55</v>
      </c>
      <c r="B18" s="8" t="s">
        <v>55</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0</v>
      </c>
      <c r="Q18" s="12" t="n">
        <f aca="false">IFERROR(INDEX('State Rules'!$E$5:$E$11,MATCH($B18,'State Rules'!$A$5:$A$11,0)),"")</f>
        <v>0</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n">
        <f aca="false">IFERROR(INDEX('State Rules'!$M$5:$M$11,MATCH($B18,'State Rules'!$A$5:$A$11,0)),"")</f>
        <v>0</v>
      </c>
      <c r="Y18" s="10" t="n">
        <f aca="false">IF(X18="SHORT",T18,IF(X18="LONG",U18,0))</f>
        <v>0</v>
      </c>
      <c r="Z18" s="10" t="n">
        <f aca="false">IF(X18="SHORT",V18,IF(X18="LONG",W18,0))</f>
        <v>0</v>
      </c>
      <c r="AA18" s="13" t="str">
        <f aca="false">IF(F18=0,"",_xlfn.MINIFS(Detail!$E$7:$E$400,Detail!$A$7:$A$400,$A18))</f>
        <v/>
      </c>
      <c r="AB18" s="14" t="s">
        <v>56</v>
      </c>
    </row>
    <row r="19" customFormat="false" ht="15" hidden="false" customHeight="false" outlineLevel="0" collapsed="false">
      <c r="A19" s="15" t="s">
        <v>57</v>
      </c>
      <c r="B19" s="16"/>
      <c r="C19" s="17" t="n">
        <f aca="false">SUM(C11:C18)</f>
        <v>226764.46</v>
      </c>
      <c r="D19" s="17" t="n">
        <f aca="false">SUM(D11:D18)</f>
        <v>144542</v>
      </c>
      <c r="E19" s="17" t="n">
        <f aca="false">SUM(E11:E18)</f>
        <v>371306.46</v>
      </c>
      <c r="F19" s="15" t="n">
        <f aca="false">SUM(F11:F18)</f>
        <v>181</v>
      </c>
      <c r="G19" s="17" t="n">
        <f aca="false">SUM(G11:G18)</f>
        <v>114234.35</v>
      </c>
      <c r="H19" s="17" t="n">
        <f aca="false">SUM(H11:H18)</f>
        <v>57512.62</v>
      </c>
      <c r="I19" s="17" t="n">
        <f aca="false">SUM(I11:I18)</f>
        <v>40304.24</v>
      </c>
      <c r="J19" s="17" t="n">
        <f aca="false">SUM(J11:J18)</f>
        <v>14713.25</v>
      </c>
      <c r="K19" s="17" t="n">
        <f aca="false">SUM(K11:K18)</f>
        <v>0</v>
      </c>
      <c r="L19" s="17" t="n">
        <f aca="false">SUM(L11:L18)</f>
        <v>20825</v>
      </c>
      <c r="M19" s="17" t="n">
        <f aca="false">SUM(M11:M18)</f>
        <v>2058.33</v>
      </c>
      <c r="N19" s="17" t="n">
        <f aca="false">SUM(N11:N18)</f>
        <v>30640.63</v>
      </c>
      <c r="O19" s="17" t="n">
        <f aca="false">SUM(O11:O18)</f>
        <v>173240.5</v>
      </c>
      <c r="P19" s="16"/>
      <c r="Q19" s="16"/>
      <c r="R19" s="17" t="n">
        <f aca="false">SUM(R11:R18)</f>
        <v>102452.86</v>
      </c>
      <c r="S19" s="17" t="n">
        <f aca="false">SUM(S11:S18)</f>
        <v>14713.25</v>
      </c>
      <c r="T19" s="17" t="n">
        <f aca="false">SUM(T11:T18)</f>
        <v>87939.15</v>
      </c>
      <c r="U19" s="17" t="n">
        <f aca="false">SUM(U11:U18)</f>
        <v>13407.75</v>
      </c>
      <c r="V19" s="17" t="n">
        <f aca="false">SUM(V11:V18)</f>
        <v>98106.02</v>
      </c>
      <c r="W19" s="17" t="n">
        <f aca="false">SUM(W11:W18)</f>
        <v>16846.75</v>
      </c>
      <c r="X19" s="16"/>
      <c r="Y19" s="17" t="n">
        <f aca="false">SUM(Y11:Y18)</f>
        <v>21554.81</v>
      </c>
      <c r="Z19" s="17" t="n">
        <f aca="false">SUM(Z11:Z18)</f>
        <v>28600.06</v>
      </c>
      <c r="AA19" s="16"/>
      <c r="AB19" s="16"/>
    </row>
    <row r="21" customFormat="false" ht="15.75" hidden="false" customHeight="true" outlineLevel="0" collapsed="false">
      <c r="A21" s="18" t="s">
        <v>58</v>
      </c>
      <c r="B21" s="18"/>
      <c r="C21" s="18"/>
      <c r="D21" s="18"/>
      <c r="E21" s="18"/>
      <c r="F21" s="18"/>
      <c r="G21" s="18"/>
      <c r="H21" s="18"/>
      <c r="I21" s="18"/>
      <c r="J21" s="18"/>
      <c r="K21" s="18"/>
      <c r="L21" s="18"/>
      <c r="M21" s="18"/>
      <c r="N21" s="18"/>
      <c r="O21" s="18"/>
      <c r="P21" s="18"/>
    </row>
    <row r="22" customFormat="false" ht="51.75" hidden="false" customHeight="true" outlineLevel="0" collapsed="false">
      <c r="A22" s="2" t="s">
        <v>59</v>
      </c>
      <c r="B22" s="2"/>
      <c r="C22" s="2"/>
      <c r="D22" s="2"/>
      <c r="E22" s="2"/>
      <c r="F22" s="2"/>
      <c r="G22" s="2"/>
      <c r="H22" s="2"/>
      <c r="I22" s="2"/>
      <c r="J22" s="2"/>
      <c r="K22" s="2"/>
      <c r="L22" s="2"/>
      <c r="M22" s="2"/>
      <c r="N22" s="2"/>
      <c r="O22" s="2"/>
      <c r="P22" s="2"/>
    </row>
    <row r="23" customFormat="false" ht="51.75" hidden="false" customHeight="true" outlineLevel="0" collapsed="false">
      <c r="A23" s="2" t="s">
        <v>60</v>
      </c>
      <c r="B23" s="2"/>
      <c r="C23" s="2"/>
      <c r="D23" s="2"/>
      <c r="E23" s="2"/>
      <c r="F23" s="2"/>
      <c r="G23" s="2"/>
      <c r="H23" s="2"/>
      <c r="I23" s="2"/>
      <c r="J23" s="2"/>
      <c r="K23" s="2"/>
      <c r="L23" s="2"/>
      <c r="M23" s="2"/>
      <c r="N23" s="2"/>
      <c r="O23" s="2"/>
      <c r="P23" s="2"/>
    </row>
    <row r="24" customFormat="false" ht="51.75" hidden="false" customHeight="true" outlineLevel="0" collapsed="false">
      <c r="A24" s="2" t="s">
        <v>61</v>
      </c>
      <c r="B24" s="2"/>
      <c r="C24" s="2"/>
      <c r="D24" s="2"/>
      <c r="E24" s="2"/>
      <c r="F24" s="2"/>
      <c r="G24" s="2"/>
      <c r="H24" s="2"/>
      <c r="I24" s="2"/>
      <c r="J24" s="2"/>
      <c r="K24" s="2"/>
      <c r="L24" s="2"/>
      <c r="M24" s="2"/>
      <c r="N24" s="2"/>
      <c r="O24" s="2"/>
      <c r="P24" s="2"/>
    </row>
    <row r="25" customFormat="false" ht="51.75" hidden="false" customHeight="true" outlineLevel="0" collapsed="false">
      <c r="A25" s="2" t="s">
        <v>62</v>
      </c>
      <c r="B25" s="2"/>
      <c r="C25" s="2"/>
      <c r="D25" s="2"/>
      <c r="E25" s="2"/>
      <c r="F25" s="2"/>
      <c r="G25" s="2"/>
      <c r="H25" s="2"/>
      <c r="I25" s="2"/>
      <c r="J25" s="2"/>
      <c r="K25" s="2"/>
      <c r="L25" s="2"/>
      <c r="M25" s="2"/>
      <c r="N25" s="2"/>
      <c r="O25" s="2"/>
      <c r="P25" s="2"/>
    </row>
    <row r="26" customFormat="false" ht="51.75" hidden="false" customHeight="true" outlineLevel="0" collapsed="false">
      <c r="A26" s="2" t="s">
        <v>63</v>
      </c>
      <c r="B26" s="2"/>
      <c r="C26" s="2"/>
      <c r="D26" s="2"/>
      <c r="E26" s="2"/>
      <c r="F26" s="2"/>
      <c r="G26" s="2"/>
      <c r="H26" s="2"/>
      <c r="I26" s="2"/>
      <c r="J26" s="2"/>
      <c r="K26" s="2"/>
      <c r="L26" s="2"/>
      <c r="M26" s="2"/>
      <c r="N26" s="2"/>
      <c r="O26" s="2"/>
      <c r="P26" s="2"/>
    </row>
    <row r="27" customFormat="false" ht="51.75" hidden="false" customHeight="true" outlineLevel="0" collapsed="false">
      <c r="A27" s="2" t="s">
        <v>64</v>
      </c>
      <c r="B27" s="2"/>
      <c r="C27" s="2"/>
      <c r="D27" s="2"/>
      <c r="E27" s="2"/>
      <c r="F27" s="2"/>
      <c r="G27" s="2"/>
      <c r="H27" s="2"/>
      <c r="I27" s="2"/>
      <c r="J27" s="2"/>
      <c r="K27" s="2"/>
      <c r="L27" s="2"/>
      <c r="M27" s="2"/>
      <c r="N27" s="2"/>
      <c r="O27" s="2"/>
      <c r="P27" s="2"/>
    </row>
  </sheetData>
  <mergeCells count="8">
    <mergeCell ref="A2:AB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s>
  <sheetData>
    <row r="1" customFormat="false" ht="17.35" hidden="false" customHeight="false" outlineLevel="0" collapsed="false">
      <c r="A1" s="1" t="s">
        <v>65</v>
      </c>
    </row>
    <row r="2" customFormat="false" ht="31.5" hidden="false" customHeight="true" outlineLevel="0" collapsed="false">
      <c r="A2" s="2" t="s">
        <v>66</v>
      </c>
      <c r="B2" s="2"/>
      <c r="C2" s="2"/>
      <c r="D2" s="2"/>
      <c r="E2" s="2"/>
      <c r="F2" s="2"/>
      <c r="G2" s="2"/>
      <c r="H2" s="2"/>
      <c r="I2" s="2"/>
      <c r="J2" s="2"/>
      <c r="K2" s="2"/>
      <c r="L2" s="2"/>
      <c r="M2" s="2"/>
      <c r="N2" s="2"/>
      <c r="O2" s="2"/>
      <c r="P2" s="2"/>
      <c r="Q2" s="2"/>
      <c r="R2" s="2"/>
      <c r="S2" s="2"/>
      <c r="T2" s="2"/>
      <c r="U2" s="2"/>
      <c r="V2" s="2"/>
      <c r="W2" s="2"/>
      <c r="X2" s="2"/>
      <c r="Y2" s="2"/>
      <c r="Z2" s="2"/>
      <c r="AA2" s="2"/>
    </row>
    <row r="3" customFormat="false" ht="31.5" hidden="false" customHeight="true" outlineLevel="0" collapsed="false">
      <c r="A3" s="2" t="s">
        <v>67</v>
      </c>
      <c r="B3" s="2"/>
      <c r="C3" s="2"/>
      <c r="D3" s="2"/>
      <c r="E3" s="2"/>
      <c r="F3" s="2"/>
      <c r="G3" s="2"/>
      <c r="H3" s="2"/>
      <c r="I3" s="2"/>
      <c r="J3" s="2"/>
      <c r="K3" s="2"/>
      <c r="L3" s="2"/>
      <c r="M3" s="2"/>
      <c r="N3" s="2"/>
      <c r="O3" s="2"/>
      <c r="P3" s="2"/>
      <c r="Q3" s="2"/>
      <c r="R3" s="2"/>
      <c r="S3" s="2"/>
      <c r="T3" s="2"/>
      <c r="U3" s="2"/>
      <c r="V3" s="2"/>
      <c r="W3" s="2"/>
      <c r="X3" s="2"/>
      <c r="Y3" s="2"/>
      <c r="Z3" s="2"/>
      <c r="AA3" s="2"/>
    </row>
    <row r="4" customFormat="false" ht="15" hidden="false" customHeight="false" outlineLevel="0" collapsed="false">
      <c r="A4" s="19" t="s">
        <v>68</v>
      </c>
      <c r="B4" s="20" t="n">
        <f aca="false">Summary!$B$3</f>
        <v>46301</v>
      </c>
    </row>
    <row r="6" customFormat="false" ht="55.5" hidden="false" customHeight="true" outlineLevel="0" collapsed="false">
      <c r="A6" s="6" t="s">
        <v>8</v>
      </c>
      <c r="B6" s="6" t="s">
        <v>69</v>
      </c>
      <c r="C6" s="6" t="s">
        <v>70</v>
      </c>
      <c r="D6" s="6" t="s">
        <v>71</v>
      </c>
      <c r="E6" s="6" t="s">
        <v>72</v>
      </c>
      <c r="F6" s="6" t="s">
        <v>73</v>
      </c>
      <c r="G6" s="6" t="s">
        <v>74</v>
      </c>
      <c r="H6" s="6" t="s">
        <v>75</v>
      </c>
      <c r="I6" s="6" t="s">
        <v>76</v>
      </c>
      <c r="J6" s="6" t="s">
        <v>77</v>
      </c>
      <c r="K6" s="6" t="s">
        <v>78</v>
      </c>
      <c r="L6" s="6" t="s">
        <v>79</v>
      </c>
      <c r="M6" s="6" t="s">
        <v>80</v>
      </c>
      <c r="N6" s="6" t="s">
        <v>81</v>
      </c>
      <c r="O6" s="6" t="s">
        <v>23</v>
      </c>
      <c r="P6" s="6" t="s">
        <v>82</v>
      </c>
      <c r="Q6" s="6" t="s">
        <v>83</v>
      </c>
      <c r="R6" s="6" t="s">
        <v>84</v>
      </c>
      <c r="S6" s="6" t="s">
        <v>85</v>
      </c>
      <c r="T6" s="6" t="s">
        <v>86</v>
      </c>
      <c r="U6" s="6" t="s">
        <v>87</v>
      </c>
      <c r="V6" s="6" t="s">
        <v>88</v>
      </c>
      <c r="W6" s="6" t="s">
        <v>89</v>
      </c>
      <c r="X6" s="6" t="s">
        <v>90</v>
      </c>
      <c r="Y6" s="6" t="s">
        <v>91</v>
      </c>
      <c r="Z6" s="6" t="s">
        <v>92</v>
      </c>
      <c r="AA6" s="6" t="s">
        <v>93</v>
      </c>
    </row>
    <row r="7" customFormat="false" ht="15" hidden="false" customHeight="false" outlineLevel="0" collapsed="false">
      <c r="A7" s="11" t="s">
        <v>36</v>
      </c>
      <c r="B7" s="12" t="str">
        <f aca="false">IFERROR(INDEX(Summary!$B$11:$B$18,MATCH($A7,Summary!$A$11:$A$18,0)),"")</f>
        <v>TX</v>
      </c>
      <c r="C7" s="11" t="s">
        <v>36</v>
      </c>
      <c r="D7" s="11" t="n">
        <v>21</v>
      </c>
      <c r="E7" s="21" t="n">
        <v>44988</v>
      </c>
      <c r="F7" s="11" t="s">
        <v>94</v>
      </c>
      <c r="G7" s="11" t="s">
        <v>95</v>
      </c>
      <c r="H7" s="10" t="n">
        <v>1097.5</v>
      </c>
      <c r="I7" s="11" t="s">
        <v>96</v>
      </c>
      <c r="J7" s="11" t="s">
        <v>97</v>
      </c>
      <c r="K7" s="22" t="n">
        <f aca="false">IF(E7="","",($B$4-E7)/365.25)</f>
        <v>3.59479808350445</v>
      </c>
      <c r="L7" s="11" t="str">
        <f aca="false">IF(K7="","no date",IF(K7&lt;1,"0-1 yrs",IF(K7&lt;2,"1-2 yrs",IF(K7&lt;3,"2-3 yrs",IF(K7&lt;5,"3-5 yrs","5+ yrs")))))</f>
        <v>3-5 yrs</v>
      </c>
      <c r="M7" s="11" t="s">
        <v>97</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1" t="n">
        <f aca="false">IF(OR(O7="",E7=""),"",EDATE(E7,12*O7))</f>
        <v>45354</v>
      </c>
      <c r="Q7" s="21"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3"/>
      <c r="W7" s="23"/>
      <c r="X7" s="23"/>
      <c r="Y7" s="8"/>
      <c r="Z7" s="10" t="n">
        <f aca="false">IF(Q7="","",IF(Q7&lt;=$B$4,N(W7)+N(X7),0))</f>
        <v>0</v>
      </c>
      <c r="AA7" s="10" t="n">
        <f aca="false">IF(OR(LEFT(N7,6)="Larger",LEFT(N7,4)="Memo"),H7,0)</f>
        <v>1097.5</v>
      </c>
    </row>
    <row r="8" customFormat="false" ht="15" hidden="false" customHeight="false" outlineLevel="0" collapsed="false">
      <c r="A8" s="11" t="s">
        <v>36</v>
      </c>
      <c r="B8" s="12" t="str">
        <f aca="false">IFERROR(INDEX(Summary!$B$11:$B$18,MATCH($A8,Summary!$A$11:$A$18,0)),"")</f>
        <v>TX</v>
      </c>
      <c r="C8" s="11" t="s">
        <v>36</v>
      </c>
      <c r="D8" s="11" t="n">
        <v>22</v>
      </c>
      <c r="E8" s="21" t="n">
        <v>45035</v>
      </c>
      <c r="F8" s="11" t="s">
        <v>98</v>
      </c>
      <c r="G8" s="11" t="s">
        <v>99</v>
      </c>
      <c r="H8" s="10" t="n">
        <v>444</v>
      </c>
      <c r="I8" s="11" t="s">
        <v>100</v>
      </c>
      <c r="J8" s="11" t="s">
        <v>97</v>
      </c>
      <c r="K8" s="22" t="n">
        <f aca="false">IF(E8="","",($B$4-E8)/365.25)</f>
        <v>3.46611909650924</v>
      </c>
      <c r="L8" s="11" t="str">
        <f aca="false">IF(K8="","no date",IF(K8&lt;1,"0-1 yrs",IF(K8&lt;2,"1-2 yrs",IF(K8&lt;3,"2-3 yrs",IF(K8&lt;5,"3-5 yrs","5+ yrs")))))</f>
        <v>3-5 yrs</v>
      </c>
      <c r="M8" s="11" t="s">
        <v>97</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1" t="n">
        <f aca="false">IF(OR(O8="",E8=""),"",EDATE(E8,12*O8))</f>
        <v>45401</v>
      </c>
      <c r="Q8" s="21"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3"/>
      <c r="W8" s="23"/>
      <c r="X8" s="23"/>
      <c r="Y8" s="8"/>
      <c r="Z8" s="10" t="n">
        <f aca="false">IF(Q8="","",IF(Q8&lt;=$B$4,N(W8)+N(X8),0))</f>
        <v>0</v>
      </c>
      <c r="AA8" s="10" t="n">
        <f aca="false">IF(OR(LEFT(N8,6)="Larger",LEFT(N8,4)="Memo"),H8,0)</f>
        <v>444</v>
      </c>
    </row>
    <row r="9" customFormat="false" ht="15" hidden="false" customHeight="false" outlineLevel="0" collapsed="false">
      <c r="A9" s="11" t="s">
        <v>36</v>
      </c>
      <c r="B9" s="12" t="str">
        <f aca="false">IFERROR(INDEX(Summary!$B$11:$B$18,MATCH($A9,Summary!$A$11:$A$18,0)),"")</f>
        <v>TX</v>
      </c>
      <c r="C9" s="11" t="s">
        <v>36</v>
      </c>
      <c r="D9" s="11" t="n">
        <v>23</v>
      </c>
      <c r="E9" s="21" t="n">
        <v>45051</v>
      </c>
      <c r="F9" s="11" t="s">
        <v>101</v>
      </c>
      <c r="G9" s="11" t="s">
        <v>102</v>
      </c>
      <c r="H9" s="10" t="n">
        <v>2147.5</v>
      </c>
      <c r="I9" s="11"/>
      <c r="J9" s="11" t="s">
        <v>97</v>
      </c>
      <c r="K9" s="22" t="n">
        <f aca="false">IF(E9="","",($B$4-E9)/365.25)</f>
        <v>3.42231348391513</v>
      </c>
      <c r="L9" s="11" t="str">
        <f aca="false">IF(K9="","no date",IF(K9&lt;1,"0-1 yrs",IF(K9&lt;2,"1-2 yrs",IF(K9&lt;3,"2-3 yrs",IF(K9&lt;5,"3-5 yrs","5+ yrs")))))</f>
        <v>3-5 yrs</v>
      </c>
      <c r="M9" s="11" t="s">
        <v>97</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1" t="n">
        <f aca="false">IF(OR(O9="",E9=""),"",EDATE(E9,12*O9))</f>
        <v>45417</v>
      </c>
      <c r="Q9" s="21"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3"/>
      <c r="W9" s="23"/>
      <c r="X9" s="23"/>
      <c r="Y9" s="8"/>
      <c r="Z9" s="10" t="n">
        <f aca="false">IF(Q9="","",IF(Q9&lt;=$B$4,N(W9)+N(X9),0))</f>
        <v>0</v>
      </c>
      <c r="AA9" s="10" t="n">
        <f aca="false">IF(OR(LEFT(N9,6)="Larger",LEFT(N9,4)="Memo"),H9,0)</f>
        <v>2147.5</v>
      </c>
    </row>
    <row r="10" customFormat="false" ht="15" hidden="false" customHeight="false" outlineLevel="0" collapsed="false">
      <c r="A10" s="11" t="s">
        <v>36</v>
      </c>
      <c r="B10" s="12" t="str">
        <f aca="false">IFERROR(INDEX(Summary!$B$11:$B$18,MATCH($A10,Summary!$A$11:$A$18,0)),"")</f>
        <v>TX</v>
      </c>
      <c r="C10" s="11" t="s">
        <v>36</v>
      </c>
      <c r="D10" s="11" t="n">
        <v>24</v>
      </c>
      <c r="E10" s="21" t="n">
        <v>45071</v>
      </c>
      <c r="F10" s="11" t="s">
        <v>103</v>
      </c>
      <c r="G10" s="11" t="s">
        <v>104</v>
      </c>
      <c r="H10" s="10" t="n">
        <v>694.68</v>
      </c>
      <c r="I10" s="11"/>
      <c r="J10" s="11" t="s">
        <v>97</v>
      </c>
      <c r="K10" s="22" t="n">
        <f aca="false">IF(E10="","",($B$4-E10)/365.25)</f>
        <v>3.36755646817248</v>
      </c>
      <c r="L10" s="11" t="str">
        <f aca="false">IF(K10="","no date",IF(K10&lt;1,"0-1 yrs",IF(K10&lt;2,"1-2 yrs",IF(K10&lt;3,"2-3 yrs",IF(K10&lt;5,"3-5 yrs","5+ yrs")))))</f>
        <v>3-5 yrs</v>
      </c>
      <c r="M10" s="11" t="s">
        <v>97</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1" t="n">
        <f aca="false">IF(OR(O10="",E10=""),"",EDATE(E10,12*O10))</f>
        <v>45437</v>
      </c>
      <c r="Q10" s="21"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3"/>
      <c r="W10" s="23"/>
      <c r="X10" s="23"/>
      <c r="Y10" s="8"/>
      <c r="Z10" s="10" t="n">
        <f aca="false">IF(Q10="","",IF(Q10&lt;=$B$4,N(W10)+N(X10),0))</f>
        <v>0</v>
      </c>
      <c r="AA10" s="10" t="n">
        <f aca="false">IF(OR(LEFT(N10,6)="Larger",LEFT(N10,4)="Memo"),H10,0)</f>
        <v>694.68</v>
      </c>
    </row>
    <row r="11" customFormat="false" ht="15" hidden="false" customHeight="false" outlineLevel="0" collapsed="false">
      <c r="A11" s="11" t="s">
        <v>36</v>
      </c>
      <c r="B11" s="12" t="str">
        <f aca="false">IFERROR(INDEX(Summary!$B$11:$B$18,MATCH($A11,Summary!$A$11:$A$18,0)),"")</f>
        <v>TX</v>
      </c>
      <c r="C11" s="11" t="s">
        <v>36</v>
      </c>
      <c r="D11" s="11" t="n">
        <v>25</v>
      </c>
      <c r="E11" s="21" t="n">
        <v>45106</v>
      </c>
      <c r="F11" s="11" t="s">
        <v>105</v>
      </c>
      <c r="G11" s="11" t="s">
        <v>106</v>
      </c>
      <c r="H11" s="10" t="n">
        <v>500</v>
      </c>
      <c r="I11" s="11" t="s">
        <v>107</v>
      </c>
      <c r="J11" s="11" t="s">
        <v>97</v>
      </c>
      <c r="K11" s="22" t="n">
        <f aca="false">IF(E11="","",($B$4-E11)/365.25)</f>
        <v>3.27173169062286</v>
      </c>
      <c r="L11" s="11" t="str">
        <f aca="false">IF(K11="","no date",IF(K11&lt;1,"0-1 yrs",IF(K11&lt;2,"1-2 yrs",IF(K11&lt;3,"2-3 yrs",IF(K11&lt;5,"3-5 yrs","5+ yrs")))))</f>
        <v>3-5 yrs</v>
      </c>
      <c r="M11" s="24" t="s">
        <v>108</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1" t="n">
        <f aca="false">IF(OR(O11="",E11=""),"",EDATE(E11,12*O11))</f>
        <v>45472</v>
      </c>
      <c r="Q11" s="21"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3"/>
      <c r="W11" s="23"/>
      <c r="X11" s="23"/>
      <c r="Y11" s="8"/>
      <c r="Z11" s="10" t="n">
        <f aca="false">IF(Q11="","",IF(Q11&lt;=$B$4,N(W11)+N(X11),0))</f>
        <v>0</v>
      </c>
      <c r="AA11" s="10" t="n">
        <f aca="false">IF(OR(LEFT(N11,6)="Larger",LEFT(N11,4)="Memo"),H11,0)</f>
        <v>500</v>
      </c>
    </row>
    <row r="12" customFormat="false" ht="15" hidden="false" customHeight="false" outlineLevel="0" collapsed="false">
      <c r="A12" s="11" t="s">
        <v>36</v>
      </c>
      <c r="B12" s="12" t="str">
        <f aca="false">IFERROR(INDEX(Summary!$B$11:$B$18,MATCH($A12,Summary!$A$11:$A$18,0)),"")</f>
        <v>TX</v>
      </c>
      <c r="C12" s="11" t="s">
        <v>36</v>
      </c>
      <c r="D12" s="11" t="n">
        <v>26</v>
      </c>
      <c r="E12" s="21" t="n">
        <v>45152</v>
      </c>
      <c r="F12" s="11" t="s">
        <v>109</v>
      </c>
      <c r="G12" s="11" t="s">
        <v>110</v>
      </c>
      <c r="H12" s="10" t="n">
        <v>824.12</v>
      </c>
      <c r="I12" s="11"/>
      <c r="J12" s="11" t="s">
        <v>97</v>
      </c>
      <c r="K12" s="22" t="n">
        <f aca="false">IF(E12="","",($B$4-E12)/365.25)</f>
        <v>3.14579055441478</v>
      </c>
      <c r="L12" s="11" t="str">
        <f aca="false">IF(K12="","no date",IF(K12&lt;1,"0-1 yrs",IF(K12&lt;2,"1-2 yrs",IF(K12&lt;3,"2-3 yrs",IF(K12&lt;5,"3-5 yrs","5+ yrs")))))</f>
        <v>3-5 yrs</v>
      </c>
      <c r="M12" s="11" t="s">
        <v>97</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1" t="n">
        <f aca="false">IF(OR(O12="",E12=""),"",EDATE(E12,12*O12))</f>
        <v>45518</v>
      </c>
      <c r="Q12" s="21"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3"/>
      <c r="W12" s="23"/>
      <c r="X12" s="23"/>
      <c r="Y12" s="8"/>
      <c r="Z12" s="10" t="n">
        <f aca="false">IF(Q12="","",IF(Q12&lt;=$B$4,N(W12)+N(X12),0))</f>
        <v>0</v>
      </c>
      <c r="AA12" s="10" t="n">
        <f aca="false">IF(OR(LEFT(N12,6)="Larger",LEFT(N12,4)="Memo"),H12,0)</f>
        <v>824.12</v>
      </c>
    </row>
    <row r="13" customFormat="false" ht="15" hidden="false" customHeight="false" outlineLevel="0" collapsed="false">
      <c r="A13" s="11" t="s">
        <v>36</v>
      </c>
      <c r="B13" s="12" t="str">
        <f aca="false">IFERROR(INDEX(Summary!$B$11:$B$18,MATCH($A13,Summary!$A$11:$A$18,0)),"")</f>
        <v>TX</v>
      </c>
      <c r="C13" s="11" t="s">
        <v>36</v>
      </c>
      <c r="D13" s="11" t="n">
        <v>27</v>
      </c>
      <c r="E13" s="21" t="n">
        <v>45176</v>
      </c>
      <c r="F13" s="11" t="s">
        <v>111</v>
      </c>
      <c r="G13" s="11" t="s">
        <v>112</v>
      </c>
      <c r="H13" s="10" t="n">
        <v>91.5</v>
      </c>
      <c r="I13" s="11"/>
      <c r="J13" s="11" t="s">
        <v>97</v>
      </c>
      <c r="K13" s="22" t="n">
        <f aca="false">IF(E13="","",($B$4-E13)/365.25)</f>
        <v>3.08008213552361</v>
      </c>
      <c r="L13" s="11" t="str">
        <f aca="false">IF(K13="","no date",IF(K13&lt;1,"0-1 yrs",IF(K13&lt;2,"1-2 yrs",IF(K13&lt;3,"2-3 yrs",IF(K13&lt;5,"3-5 yrs","5+ yrs")))))</f>
        <v>3-5 yrs</v>
      </c>
      <c r="M13" s="11" t="s">
        <v>97</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1" t="n">
        <f aca="false">IF(OR(O13="",E13=""),"",EDATE(E13,12*O13))</f>
        <v>45542</v>
      </c>
      <c r="Q13" s="21"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3"/>
      <c r="W13" s="23"/>
      <c r="X13" s="23"/>
      <c r="Y13" s="8"/>
      <c r="Z13" s="10" t="n">
        <f aca="false">IF(Q13="","",IF(Q13&lt;=$B$4,N(W13)+N(X13),0))</f>
        <v>0</v>
      </c>
      <c r="AA13" s="10" t="n">
        <f aca="false">IF(OR(LEFT(N13,6)="Larger",LEFT(N13,4)="Memo"),H13,0)</f>
        <v>0</v>
      </c>
    </row>
    <row r="14" customFormat="false" ht="15" hidden="false" customHeight="false" outlineLevel="0" collapsed="false">
      <c r="A14" s="11" t="s">
        <v>36</v>
      </c>
      <c r="B14" s="12" t="str">
        <f aca="false">IFERROR(INDEX(Summary!$B$11:$B$18,MATCH($A14,Summary!$A$11:$A$18,0)),"")</f>
        <v>TX</v>
      </c>
      <c r="C14" s="11" t="s">
        <v>36</v>
      </c>
      <c r="D14" s="11" t="n">
        <v>28</v>
      </c>
      <c r="E14" s="21" t="n">
        <v>45183</v>
      </c>
      <c r="F14" s="11" t="s">
        <v>113</v>
      </c>
      <c r="G14" s="11" t="s">
        <v>114</v>
      </c>
      <c r="H14" s="10" t="n">
        <v>1000</v>
      </c>
      <c r="I14" s="11"/>
      <c r="J14" s="11" t="s">
        <v>97</v>
      </c>
      <c r="K14" s="22" t="n">
        <f aca="false">IF(E14="","",($B$4-E14)/365.25)</f>
        <v>3.06091718001369</v>
      </c>
      <c r="L14" s="11" t="str">
        <f aca="false">IF(K14="","no date",IF(K14&lt;1,"0-1 yrs",IF(K14&lt;2,"1-2 yrs",IF(K14&lt;3,"2-3 yrs",IF(K14&lt;5,"3-5 yrs","5+ yrs")))))</f>
        <v>3-5 yrs</v>
      </c>
      <c r="M14" s="11" t="s">
        <v>97</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1" t="n">
        <f aca="false">IF(OR(O14="",E14=""),"",EDATE(E14,12*O14))</f>
        <v>45549</v>
      </c>
      <c r="Q14" s="21"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3"/>
      <c r="W14" s="23"/>
      <c r="X14" s="23"/>
      <c r="Y14" s="8"/>
      <c r="Z14" s="10" t="n">
        <f aca="false">IF(Q14="","",IF(Q14&lt;=$B$4,N(W14)+N(X14),0))</f>
        <v>0</v>
      </c>
      <c r="AA14" s="10" t="n">
        <f aca="false">IF(OR(LEFT(N14,6)="Larger",LEFT(N14,4)="Memo"),H14,0)</f>
        <v>1000</v>
      </c>
    </row>
    <row r="15" customFormat="false" ht="15" hidden="false" customHeight="false" outlineLevel="0" collapsed="false">
      <c r="A15" s="11" t="s">
        <v>36</v>
      </c>
      <c r="B15" s="12" t="str">
        <f aca="false">IFERROR(INDEX(Summary!$B$11:$B$18,MATCH($A15,Summary!$A$11:$A$18,0)),"")</f>
        <v>TX</v>
      </c>
      <c r="C15" s="11" t="s">
        <v>36</v>
      </c>
      <c r="D15" s="11" t="n">
        <v>29</v>
      </c>
      <c r="E15" s="21" t="n">
        <v>45237</v>
      </c>
      <c r="F15" s="11" t="s">
        <v>115</v>
      </c>
      <c r="G15" s="11" t="s">
        <v>116</v>
      </c>
      <c r="H15" s="10" t="n">
        <v>800</v>
      </c>
      <c r="I15" s="11"/>
      <c r="J15" s="11" t="s">
        <v>97</v>
      </c>
      <c r="K15" s="22" t="n">
        <f aca="false">IF(E15="","",($B$4-E15)/365.25)</f>
        <v>2.91307323750856</v>
      </c>
      <c r="L15" s="11" t="str">
        <f aca="false">IF(K15="","no date",IF(K15&lt;1,"0-1 yrs",IF(K15&lt;2,"1-2 yrs",IF(K15&lt;3,"2-3 yrs",IF(K15&lt;5,"3-5 yrs","5+ yrs")))))</f>
        <v>2-3 yrs</v>
      </c>
      <c r="M15" s="11" t="s">
        <v>97</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1" t="n">
        <f aca="false">IF(OR(O15="",E15=""),"",EDATE(E15,12*O15))</f>
        <v>45603</v>
      </c>
      <c r="Q15" s="21"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3"/>
      <c r="W15" s="23"/>
      <c r="X15" s="23"/>
      <c r="Y15" s="8"/>
      <c r="Z15" s="10" t="n">
        <f aca="false">IF(Q15="","",IF(Q15&lt;=$B$4,N(W15)+N(X15),0))</f>
        <v>0</v>
      </c>
      <c r="AA15" s="10" t="n">
        <f aca="false">IF(OR(LEFT(N15,6)="Larger",LEFT(N15,4)="Memo"),H15,0)</f>
        <v>800</v>
      </c>
    </row>
    <row r="16" customFormat="false" ht="15" hidden="false" customHeight="false" outlineLevel="0" collapsed="false">
      <c r="A16" s="11" t="s">
        <v>36</v>
      </c>
      <c r="B16" s="12" t="str">
        <f aca="false">IFERROR(INDEX(Summary!$B$11:$B$18,MATCH($A16,Summary!$A$11:$A$18,0)),"")</f>
        <v>TX</v>
      </c>
      <c r="C16" s="11" t="s">
        <v>36</v>
      </c>
      <c r="D16" s="11" t="n">
        <v>30</v>
      </c>
      <c r="E16" s="21" t="n">
        <v>45344</v>
      </c>
      <c r="F16" s="11" t="s">
        <v>117</v>
      </c>
      <c r="G16" s="11" t="s">
        <v>118</v>
      </c>
      <c r="H16" s="10" t="n">
        <v>534.5</v>
      </c>
      <c r="I16" s="11" t="s">
        <v>119</v>
      </c>
      <c r="J16" s="11" t="s">
        <v>97</v>
      </c>
      <c r="K16" s="22" t="n">
        <f aca="false">IF(E16="","",($B$4-E16)/365.25)</f>
        <v>2.62012320328542</v>
      </c>
      <c r="L16" s="11" t="str">
        <f aca="false">IF(K16="","no date",IF(K16&lt;1,"0-1 yrs",IF(K16&lt;2,"1-2 yrs",IF(K16&lt;3,"2-3 yrs",IF(K16&lt;5,"3-5 yrs","5+ yrs")))))</f>
        <v>2-3 yrs</v>
      </c>
      <c r="M16" s="11" t="s">
        <v>97</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1" t="n">
        <f aca="false">IF(OR(O16="",E16=""),"",EDATE(E16,12*O16))</f>
        <v>45710</v>
      </c>
      <c r="Q16" s="21"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3"/>
      <c r="W16" s="23"/>
      <c r="X16" s="23"/>
      <c r="Y16" s="8"/>
      <c r="Z16" s="10" t="n">
        <f aca="false">IF(Q16="","",IF(Q16&lt;=$B$4,N(W16)+N(X16),0))</f>
        <v>0</v>
      </c>
      <c r="AA16" s="10" t="n">
        <f aca="false">IF(OR(LEFT(N16,6)="Larger",LEFT(N16,4)="Memo"),H16,0)</f>
        <v>534.5</v>
      </c>
    </row>
    <row r="17" customFormat="false" ht="15" hidden="false" customHeight="false" outlineLevel="0" collapsed="false">
      <c r="A17" s="11" t="s">
        <v>36</v>
      </c>
      <c r="B17" s="12" t="str">
        <f aca="false">IFERROR(INDEX(Summary!$B$11:$B$18,MATCH($A17,Summary!$A$11:$A$18,0)),"")</f>
        <v>TX</v>
      </c>
      <c r="C17" s="11" t="s">
        <v>36</v>
      </c>
      <c r="D17" s="11" t="n">
        <v>31</v>
      </c>
      <c r="E17" s="21" t="n">
        <v>45365</v>
      </c>
      <c r="F17" s="11" t="s">
        <v>120</v>
      </c>
      <c r="G17" s="11" t="s">
        <v>121</v>
      </c>
      <c r="H17" s="10" t="n">
        <v>945</v>
      </c>
      <c r="I17" s="11" t="s">
        <v>122</v>
      </c>
      <c r="J17" s="11" t="s">
        <v>97</v>
      </c>
      <c r="K17" s="22" t="n">
        <f aca="false">IF(E17="","",($B$4-E17)/365.25)</f>
        <v>2.56262833675565</v>
      </c>
      <c r="L17" s="11" t="str">
        <f aca="false">IF(K17="","no date",IF(K17&lt;1,"0-1 yrs",IF(K17&lt;2,"1-2 yrs",IF(K17&lt;3,"2-3 yrs",IF(K17&lt;5,"3-5 yrs","5+ yrs")))))</f>
        <v>2-3 yrs</v>
      </c>
      <c r="M17" s="24" t="s">
        <v>108</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1" t="n">
        <f aca="false">IF(OR(O17="",E17=""),"",EDATE(E17,12*O17))</f>
        <v>45730</v>
      </c>
      <c r="Q17" s="21"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3"/>
      <c r="W17" s="23"/>
      <c r="X17" s="23"/>
      <c r="Y17" s="8"/>
      <c r="Z17" s="10" t="n">
        <f aca="false">IF(Q17="","",IF(Q17&lt;=$B$4,N(W17)+N(X17),0))</f>
        <v>0</v>
      </c>
      <c r="AA17" s="10" t="n">
        <f aca="false">IF(OR(LEFT(N17,6)="Larger",LEFT(N17,4)="Memo"),H17,0)</f>
        <v>945</v>
      </c>
    </row>
    <row r="18" customFormat="false" ht="15" hidden="false" customHeight="false" outlineLevel="0" collapsed="false">
      <c r="A18" s="11" t="s">
        <v>36</v>
      </c>
      <c r="B18" s="12" t="str">
        <f aca="false">IFERROR(INDEX(Summary!$B$11:$B$18,MATCH($A18,Summary!$A$11:$A$18,0)),"")</f>
        <v>TX</v>
      </c>
      <c r="C18" s="11" t="s">
        <v>36</v>
      </c>
      <c r="D18" s="11" t="n">
        <v>32</v>
      </c>
      <c r="E18" s="21" t="n">
        <v>45379</v>
      </c>
      <c r="F18" s="11" t="s">
        <v>123</v>
      </c>
      <c r="G18" s="11" t="s">
        <v>124</v>
      </c>
      <c r="H18" s="10" t="n">
        <v>1000</v>
      </c>
      <c r="I18" s="11" t="s">
        <v>125</v>
      </c>
      <c r="J18" s="11" t="s">
        <v>97</v>
      </c>
      <c r="K18" s="22" t="n">
        <f aca="false">IF(E18="","",($B$4-E18)/365.25)</f>
        <v>2.5242984257358</v>
      </c>
      <c r="L18" s="11" t="str">
        <f aca="false">IF(K18="","no date",IF(K18&lt;1,"0-1 yrs",IF(K18&lt;2,"1-2 yrs",IF(K18&lt;3,"2-3 yrs",IF(K18&lt;5,"3-5 yrs","5+ yrs")))))</f>
        <v>2-3 yrs</v>
      </c>
      <c r="M18" s="11" t="s">
        <v>97</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1" t="n">
        <f aca="false">IF(OR(O18="",E18=""),"",EDATE(E18,12*O18))</f>
        <v>45744</v>
      </c>
      <c r="Q18" s="21"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3"/>
      <c r="W18" s="23"/>
      <c r="X18" s="23"/>
      <c r="Y18" s="8"/>
      <c r="Z18" s="10" t="n">
        <f aca="false">IF(Q18="","",IF(Q18&lt;=$B$4,N(W18)+N(X18),0))</f>
        <v>0</v>
      </c>
      <c r="AA18" s="10" t="n">
        <f aca="false">IF(OR(LEFT(N18,6)="Larger",LEFT(N18,4)="Memo"),H18,0)</f>
        <v>1000</v>
      </c>
    </row>
    <row r="19" customFormat="false" ht="15" hidden="false" customHeight="false" outlineLevel="0" collapsed="false">
      <c r="A19" s="11" t="s">
        <v>36</v>
      </c>
      <c r="B19" s="12" t="str">
        <f aca="false">IFERROR(INDEX(Summary!$B$11:$B$18,MATCH($A19,Summary!$A$11:$A$18,0)),"")</f>
        <v>TX</v>
      </c>
      <c r="C19" s="11" t="s">
        <v>36</v>
      </c>
      <c r="D19" s="11" t="n">
        <v>33</v>
      </c>
      <c r="E19" s="21" t="n">
        <v>45450</v>
      </c>
      <c r="F19" s="11" t="s">
        <v>126</v>
      </c>
      <c r="G19" s="11"/>
      <c r="H19" s="10" t="n">
        <v>44</v>
      </c>
      <c r="I19" s="11" t="s">
        <v>127</v>
      </c>
      <c r="J19" s="11" t="s">
        <v>97</v>
      </c>
      <c r="K19" s="22" t="n">
        <f aca="false">IF(E19="","",($B$4-E19)/365.25)</f>
        <v>2.32991101984942</v>
      </c>
      <c r="L19" s="11" t="str">
        <f aca="false">IF(K19="","no date",IF(K19&lt;1,"0-1 yrs",IF(K19&lt;2,"1-2 yrs",IF(K19&lt;3,"2-3 yrs",IF(K19&lt;5,"3-5 yrs","5+ yrs")))))</f>
        <v>2-3 yrs</v>
      </c>
      <c r="M19" s="11" t="s">
        <v>97</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1" t="n">
        <f aca="false">IF(OR(O19="",E19=""),"",EDATE(E19,12*O19))</f>
        <v>45815</v>
      </c>
      <c r="Q19" s="21"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3"/>
      <c r="W19" s="23"/>
      <c r="X19" s="23"/>
      <c r="Y19" s="8"/>
      <c r="Z19" s="10" t="n">
        <f aca="false">IF(Q19="","",IF(Q19&lt;=$B$4,N(W19)+N(X19),0))</f>
        <v>0</v>
      </c>
      <c r="AA19" s="10" t="n">
        <f aca="false">IF(OR(LEFT(N19,6)="Larger",LEFT(N19,4)="Memo"),H19,0)</f>
        <v>0</v>
      </c>
    </row>
    <row r="20" customFormat="false" ht="15" hidden="false" customHeight="false" outlineLevel="0" collapsed="false">
      <c r="A20" s="11" t="s">
        <v>36</v>
      </c>
      <c r="B20" s="12" t="str">
        <f aca="false">IFERROR(INDEX(Summary!$B$11:$B$18,MATCH($A20,Summary!$A$11:$A$18,0)),"")</f>
        <v>TX</v>
      </c>
      <c r="C20" s="11" t="s">
        <v>36</v>
      </c>
      <c r="D20" s="11" t="n">
        <v>34</v>
      </c>
      <c r="E20" s="21" t="n">
        <v>45476</v>
      </c>
      <c r="F20" s="11" t="s">
        <v>128</v>
      </c>
      <c r="G20" s="11" t="s">
        <v>129</v>
      </c>
      <c r="H20" s="10" t="n">
        <v>10</v>
      </c>
      <c r="I20" s="11"/>
      <c r="J20" s="11" t="s">
        <v>97</v>
      </c>
      <c r="K20" s="22" t="n">
        <f aca="false">IF(E20="","",($B$4-E20)/365.25)</f>
        <v>2.25872689938398</v>
      </c>
      <c r="L20" s="11" t="str">
        <f aca="false">IF(K20="","no date",IF(K20&lt;1,"0-1 yrs",IF(K20&lt;2,"1-2 yrs",IF(K20&lt;3,"2-3 yrs",IF(K20&lt;5,"3-5 yrs","5+ yrs")))))</f>
        <v>2-3 yrs</v>
      </c>
      <c r="M20" s="11" t="s">
        <v>97</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1" t="n">
        <f aca="false">IF(OR(O20="",E20=""),"",EDATE(E20,12*O20))</f>
        <v>45841</v>
      </c>
      <c r="Q20" s="21"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3"/>
      <c r="W20" s="23"/>
      <c r="X20" s="23"/>
      <c r="Y20" s="8"/>
      <c r="Z20" s="10" t="n">
        <f aca="false">IF(Q20="","",IF(Q20&lt;=$B$4,N(W20)+N(X20),0))</f>
        <v>0</v>
      </c>
      <c r="AA20" s="10" t="n">
        <f aca="false">IF(OR(LEFT(N20,6)="Larger",LEFT(N20,4)="Memo"),H20,0)</f>
        <v>0</v>
      </c>
    </row>
    <row r="21" customFormat="false" ht="15" hidden="false" customHeight="false" outlineLevel="0" collapsed="false">
      <c r="A21" s="11" t="s">
        <v>36</v>
      </c>
      <c r="B21" s="12" t="str">
        <f aca="false">IFERROR(INDEX(Summary!$B$11:$B$18,MATCH($A21,Summary!$A$11:$A$18,0)),"")</f>
        <v>TX</v>
      </c>
      <c r="C21" s="11" t="s">
        <v>36</v>
      </c>
      <c r="D21" s="11" t="n">
        <v>35</v>
      </c>
      <c r="E21" s="21" t="n">
        <v>45476</v>
      </c>
      <c r="F21" s="11" t="s">
        <v>130</v>
      </c>
      <c r="G21" s="11" t="s">
        <v>129</v>
      </c>
      <c r="H21" s="10" t="n">
        <v>1549</v>
      </c>
      <c r="I21" s="11"/>
      <c r="J21" s="11" t="s">
        <v>97</v>
      </c>
      <c r="K21" s="22" t="n">
        <f aca="false">IF(E21="","",($B$4-E21)/365.25)</f>
        <v>2.25872689938398</v>
      </c>
      <c r="L21" s="11" t="str">
        <f aca="false">IF(K21="","no date",IF(K21&lt;1,"0-1 yrs",IF(K21&lt;2,"1-2 yrs",IF(K21&lt;3,"2-3 yrs",IF(K21&lt;5,"3-5 yrs","5+ yrs")))))</f>
        <v>2-3 yrs</v>
      </c>
      <c r="M21" s="11" t="s">
        <v>97</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1" t="n">
        <f aca="false">IF(OR(O21="",E21=""),"",EDATE(E21,12*O21))</f>
        <v>45841</v>
      </c>
      <c r="Q21" s="21"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3"/>
      <c r="W21" s="23"/>
      <c r="X21" s="23"/>
      <c r="Y21" s="8"/>
      <c r="Z21" s="10" t="n">
        <f aca="false">IF(Q21="","",IF(Q21&lt;=$B$4,N(W21)+N(X21),0))</f>
        <v>0</v>
      </c>
      <c r="AA21" s="10" t="n">
        <f aca="false">IF(OR(LEFT(N21,6)="Larger",LEFT(N21,4)="Memo"),H21,0)</f>
        <v>1549</v>
      </c>
    </row>
    <row r="22" customFormat="false" ht="15" hidden="false" customHeight="false" outlineLevel="0" collapsed="false">
      <c r="A22" s="11" t="s">
        <v>36</v>
      </c>
      <c r="B22" s="12" t="str">
        <f aca="false">IFERROR(INDEX(Summary!$B$11:$B$18,MATCH($A22,Summary!$A$11:$A$18,0)),"")</f>
        <v>TX</v>
      </c>
      <c r="C22" s="11" t="s">
        <v>36</v>
      </c>
      <c r="D22" s="11" t="n">
        <v>36</v>
      </c>
      <c r="E22" s="21" t="n">
        <v>45485</v>
      </c>
      <c r="F22" s="11" t="s">
        <v>131</v>
      </c>
      <c r="G22" s="11" t="s">
        <v>132</v>
      </c>
      <c r="H22" s="10" t="n">
        <v>609.24</v>
      </c>
      <c r="I22" s="11"/>
      <c r="J22" s="11" t="s">
        <v>97</v>
      </c>
      <c r="K22" s="22" t="n">
        <f aca="false">IF(E22="","",($B$4-E22)/365.25)</f>
        <v>2.23408624229979</v>
      </c>
      <c r="L22" s="11" t="str">
        <f aca="false">IF(K22="","no date",IF(K22&lt;1,"0-1 yrs",IF(K22&lt;2,"1-2 yrs",IF(K22&lt;3,"2-3 yrs",IF(K22&lt;5,"3-5 yrs","5+ yrs")))))</f>
        <v>2-3 yrs</v>
      </c>
      <c r="M22" s="11" t="s">
        <v>97</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1" t="n">
        <f aca="false">IF(OR(O22="",E22=""),"",EDATE(E22,12*O22))</f>
        <v>45850</v>
      </c>
      <c r="Q22" s="21"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3"/>
      <c r="W22" s="23"/>
      <c r="X22" s="23"/>
      <c r="Y22" s="8"/>
      <c r="Z22" s="10" t="n">
        <f aca="false">IF(Q22="","",IF(Q22&lt;=$B$4,N(W22)+N(X22),0))</f>
        <v>0</v>
      </c>
      <c r="AA22" s="10" t="n">
        <f aca="false">IF(OR(LEFT(N22,6)="Larger",LEFT(N22,4)="Memo"),H22,0)</f>
        <v>609.24</v>
      </c>
    </row>
    <row r="23" customFormat="false" ht="15" hidden="false" customHeight="false" outlineLevel="0" collapsed="false">
      <c r="A23" s="11" t="s">
        <v>36</v>
      </c>
      <c r="B23" s="12" t="str">
        <f aca="false">IFERROR(INDEX(Summary!$B$11:$B$18,MATCH($A23,Summary!$A$11:$A$18,0)),"")</f>
        <v>TX</v>
      </c>
      <c r="C23" s="11" t="s">
        <v>36</v>
      </c>
      <c r="D23" s="11" t="n">
        <v>37</v>
      </c>
      <c r="E23" s="21" t="n">
        <v>45488</v>
      </c>
      <c r="F23" s="11" t="s">
        <v>133</v>
      </c>
      <c r="G23" s="11" t="s">
        <v>134</v>
      </c>
      <c r="H23" s="10" t="n">
        <v>644</v>
      </c>
      <c r="I23" s="11"/>
      <c r="J23" s="11" t="s">
        <v>97</v>
      </c>
      <c r="K23" s="22" t="n">
        <f aca="false">IF(E23="","",($B$4-E23)/365.25)</f>
        <v>2.2258726899384</v>
      </c>
      <c r="L23" s="11" t="str">
        <f aca="false">IF(K23="","no date",IF(K23&lt;1,"0-1 yrs",IF(K23&lt;2,"1-2 yrs",IF(K23&lt;3,"2-3 yrs",IF(K23&lt;5,"3-5 yrs","5+ yrs")))))</f>
        <v>2-3 yrs</v>
      </c>
      <c r="M23" s="11" t="s">
        <v>97</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1" t="n">
        <f aca="false">IF(OR(O23="",E23=""),"",EDATE(E23,12*O23))</f>
        <v>45853</v>
      </c>
      <c r="Q23" s="21"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3"/>
      <c r="W23" s="23"/>
      <c r="X23" s="23"/>
      <c r="Y23" s="8"/>
      <c r="Z23" s="10" t="n">
        <f aca="false">IF(Q23="","",IF(Q23&lt;=$B$4,N(W23)+N(X23),0))</f>
        <v>0</v>
      </c>
      <c r="AA23" s="10" t="n">
        <f aca="false">IF(OR(LEFT(N23,6)="Larger",LEFT(N23,4)="Memo"),H23,0)</f>
        <v>0</v>
      </c>
    </row>
    <row r="24" customFormat="false" ht="15" hidden="false" customHeight="false" outlineLevel="0" collapsed="false">
      <c r="A24" s="11" t="s">
        <v>36</v>
      </c>
      <c r="B24" s="12" t="str">
        <f aca="false">IFERROR(INDEX(Summary!$B$11:$B$18,MATCH($A24,Summary!$A$11:$A$18,0)),"")</f>
        <v>TX</v>
      </c>
      <c r="C24" s="11" t="s">
        <v>36</v>
      </c>
      <c r="D24" s="11" t="n">
        <v>38</v>
      </c>
      <c r="E24" s="21" t="n">
        <v>45506</v>
      </c>
      <c r="F24" s="11" t="s">
        <v>135</v>
      </c>
      <c r="G24" s="11"/>
      <c r="H24" s="10" t="n">
        <v>1044</v>
      </c>
      <c r="I24" s="11"/>
      <c r="J24" s="11" t="s">
        <v>97</v>
      </c>
      <c r="K24" s="22" t="n">
        <f aca="false">IF(E24="","",($B$4-E24)/365.25)</f>
        <v>2.17659137577002</v>
      </c>
      <c r="L24" s="11" t="str">
        <f aca="false">IF(K24="","no date",IF(K24&lt;1,"0-1 yrs",IF(K24&lt;2,"1-2 yrs",IF(K24&lt;3,"2-3 yrs",IF(K24&lt;5,"3-5 yrs","5+ yrs")))))</f>
        <v>2-3 yrs</v>
      </c>
      <c r="M24" s="11" t="s">
        <v>97</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1" t="n">
        <f aca="false">IF(OR(O24="",E24=""),"",EDATE(E24,12*O24))</f>
        <v>45871</v>
      </c>
      <c r="Q24" s="21"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3"/>
      <c r="W24" s="23"/>
      <c r="X24" s="23"/>
      <c r="Y24" s="8"/>
      <c r="Z24" s="10" t="n">
        <f aca="false">IF(Q24="","",IF(Q24&lt;=$B$4,N(W24)+N(X24),0))</f>
        <v>0</v>
      </c>
      <c r="AA24" s="10" t="n">
        <f aca="false">IF(OR(LEFT(N24,6)="Larger",LEFT(N24,4)="Memo"),H24,0)</f>
        <v>0</v>
      </c>
    </row>
    <row r="25" customFormat="false" ht="15" hidden="false" customHeight="false" outlineLevel="0" collapsed="false">
      <c r="A25" s="11" t="s">
        <v>36</v>
      </c>
      <c r="B25" s="12" t="str">
        <f aca="false">IFERROR(INDEX(Summary!$B$11:$B$18,MATCH($A25,Summary!$A$11:$A$18,0)),"")</f>
        <v>TX</v>
      </c>
      <c r="C25" s="11" t="s">
        <v>36</v>
      </c>
      <c r="D25" s="11" t="n">
        <v>39</v>
      </c>
      <c r="E25" s="21" t="n">
        <v>45579</v>
      </c>
      <c r="F25" s="11" t="s">
        <v>136</v>
      </c>
      <c r="G25" s="11"/>
      <c r="H25" s="10" t="n">
        <v>449.75</v>
      </c>
      <c r="I25" s="11" t="s">
        <v>137</v>
      </c>
      <c r="J25" s="11" t="s">
        <v>97</v>
      </c>
      <c r="K25" s="22" t="n">
        <f aca="false">IF(E25="","",($B$4-E25)/365.25)</f>
        <v>1.97672826830938</v>
      </c>
      <c r="L25" s="11" t="str">
        <f aca="false">IF(K25="","no date",IF(K25&lt;1,"0-1 yrs",IF(K25&lt;2,"1-2 yrs",IF(K25&lt;3,"2-3 yrs",IF(K25&lt;5,"3-5 yrs","5+ yrs")))))</f>
        <v>1-2 yrs</v>
      </c>
      <c r="M25" s="24" t="s">
        <v>108</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1" t="n">
        <f aca="false">IF(OR(O25="",E25=""),"",EDATE(E25,12*O25))</f>
        <v>45944</v>
      </c>
      <c r="Q25" s="21"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3"/>
      <c r="W25" s="23"/>
      <c r="X25" s="23"/>
      <c r="Y25" s="8"/>
      <c r="Z25" s="10" t="n">
        <f aca="false">IF(Q25="","",IF(Q25&lt;=$B$4,N(W25)+N(X25),0))</f>
        <v>0</v>
      </c>
      <c r="AA25" s="10" t="n">
        <f aca="false">IF(OR(LEFT(N25,6)="Larger",LEFT(N25,4)="Memo"),H25,0)</f>
        <v>449.75</v>
      </c>
    </row>
    <row r="26" customFormat="false" ht="15" hidden="false" customHeight="false" outlineLevel="0" collapsed="false">
      <c r="A26" s="11" t="s">
        <v>36</v>
      </c>
      <c r="B26" s="12" t="str">
        <f aca="false">IFERROR(INDEX(Summary!$B$11:$B$18,MATCH($A26,Summary!$A$11:$A$18,0)),"")</f>
        <v>TX</v>
      </c>
      <c r="C26" s="11" t="s">
        <v>36</v>
      </c>
      <c r="D26" s="11" t="n">
        <v>40</v>
      </c>
      <c r="E26" s="21" t="n">
        <v>45611</v>
      </c>
      <c r="F26" s="11" t="s">
        <v>138</v>
      </c>
      <c r="G26" s="11"/>
      <c r="H26" s="10" t="n">
        <v>800</v>
      </c>
      <c r="I26" s="11" t="s">
        <v>139</v>
      </c>
      <c r="J26" s="11" t="s">
        <v>97</v>
      </c>
      <c r="K26" s="22" t="n">
        <f aca="false">IF(E26="","",($B$4-E26)/365.25)</f>
        <v>1.88911704312115</v>
      </c>
      <c r="L26" s="11" t="str">
        <f aca="false">IF(K26="","no date",IF(K26&lt;1,"0-1 yrs",IF(K26&lt;2,"1-2 yrs",IF(K26&lt;3,"2-3 yrs",IF(K26&lt;5,"3-5 yrs","5+ yrs")))))</f>
        <v>1-2 yrs</v>
      </c>
      <c r="M26" s="24" t="s">
        <v>108</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1" t="n">
        <f aca="false">IF(OR(O26="",E26=""),"",EDATE(E26,12*O26))</f>
        <v>45976</v>
      </c>
      <c r="Q26" s="21"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3"/>
      <c r="W26" s="23"/>
      <c r="X26" s="23"/>
      <c r="Y26" s="8"/>
      <c r="Z26" s="10" t="n">
        <f aca="false">IF(Q26="","",IF(Q26&lt;=$B$4,N(W26)+N(X26),0))</f>
        <v>0</v>
      </c>
      <c r="AA26" s="10" t="n">
        <f aca="false">IF(OR(LEFT(N26,6)="Larger",LEFT(N26,4)="Memo"),H26,0)</f>
        <v>800</v>
      </c>
    </row>
    <row r="27" customFormat="false" ht="15" hidden="false" customHeight="false" outlineLevel="0" collapsed="false">
      <c r="A27" s="11" t="s">
        <v>36</v>
      </c>
      <c r="B27" s="12" t="str">
        <f aca="false">IFERROR(INDEX(Summary!$B$11:$B$18,MATCH($A27,Summary!$A$11:$A$18,0)),"")</f>
        <v>TX</v>
      </c>
      <c r="C27" s="11" t="s">
        <v>36</v>
      </c>
      <c r="D27" s="11" t="n">
        <v>41</v>
      </c>
      <c r="E27" s="21" t="n">
        <v>45615</v>
      </c>
      <c r="F27" s="11" t="s">
        <v>140</v>
      </c>
      <c r="G27" s="11"/>
      <c r="H27" s="10" t="n">
        <v>4.5</v>
      </c>
      <c r="I27" s="11" t="s">
        <v>141</v>
      </c>
      <c r="J27" s="11" t="s">
        <v>97</v>
      </c>
      <c r="K27" s="22" t="n">
        <f aca="false">IF(E27="","",($B$4-E27)/365.25)</f>
        <v>1.87816563997262</v>
      </c>
      <c r="L27" s="11" t="str">
        <f aca="false">IF(K27="","no date",IF(K27&lt;1,"0-1 yrs",IF(K27&lt;2,"1-2 yrs",IF(K27&lt;3,"2-3 yrs",IF(K27&lt;5,"3-5 yrs","5+ yrs")))))</f>
        <v>1-2 yrs</v>
      </c>
      <c r="M27" s="24" t="s">
        <v>108</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1" t="n">
        <f aca="false">IF(OR(O27="",E27=""),"",EDATE(E27,12*O27))</f>
        <v>45980</v>
      </c>
      <c r="Q27" s="21"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3"/>
      <c r="W27" s="23"/>
      <c r="X27" s="23"/>
      <c r="Y27" s="8"/>
      <c r="Z27" s="10" t="n">
        <f aca="false">IF(Q27="","",IF(Q27&lt;=$B$4,N(W27)+N(X27),0))</f>
        <v>0</v>
      </c>
      <c r="AA27" s="10" t="n">
        <f aca="false">IF(OR(LEFT(N27,6)="Larger",LEFT(N27,4)="Memo"),H27,0)</f>
        <v>4.5</v>
      </c>
    </row>
    <row r="28" customFormat="false" ht="15" hidden="false" customHeight="false" outlineLevel="0" collapsed="false">
      <c r="A28" s="11" t="s">
        <v>36</v>
      </c>
      <c r="B28" s="12" t="str">
        <f aca="false">IFERROR(INDEX(Summary!$B$11:$B$18,MATCH($A28,Summary!$A$11:$A$18,0)),"")</f>
        <v>TX</v>
      </c>
      <c r="C28" s="11" t="s">
        <v>36</v>
      </c>
      <c r="D28" s="11" t="n">
        <v>42</v>
      </c>
      <c r="E28" s="21" t="n">
        <v>45616</v>
      </c>
      <c r="F28" s="11" t="s">
        <v>142</v>
      </c>
      <c r="G28" s="11"/>
      <c r="H28" s="10" t="n">
        <v>2865</v>
      </c>
      <c r="I28" s="11" t="s">
        <v>143</v>
      </c>
      <c r="J28" s="11" t="s">
        <v>97</v>
      </c>
      <c r="K28" s="22" t="n">
        <f aca="false">IF(E28="","",($B$4-E28)/365.25)</f>
        <v>1.87542778918549</v>
      </c>
      <c r="L28" s="11" t="str">
        <f aca="false">IF(K28="","no date",IF(K28&lt;1,"0-1 yrs",IF(K28&lt;2,"1-2 yrs",IF(K28&lt;3,"2-3 yrs",IF(K28&lt;5,"3-5 yrs","5+ yrs")))))</f>
        <v>1-2 yrs</v>
      </c>
      <c r="M28" s="24" t="s">
        <v>108</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1" t="n">
        <f aca="false">IF(OR(O28="",E28=""),"",EDATE(E28,12*O28))</f>
        <v>45981</v>
      </c>
      <c r="Q28" s="21"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3"/>
      <c r="W28" s="23"/>
      <c r="X28" s="23"/>
      <c r="Y28" s="8"/>
      <c r="Z28" s="10" t="n">
        <f aca="false">IF(Q28="","",IF(Q28&lt;=$B$4,N(W28)+N(X28),0))</f>
        <v>0</v>
      </c>
      <c r="AA28" s="10" t="n">
        <f aca="false">IF(OR(LEFT(N28,6)="Larger",LEFT(N28,4)="Memo"),H28,0)</f>
        <v>2865</v>
      </c>
    </row>
    <row r="29" customFormat="false" ht="15" hidden="false" customHeight="false" outlineLevel="0" collapsed="false">
      <c r="A29" s="11" t="s">
        <v>36</v>
      </c>
      <c r="B29" s="12" t="str">
        <f aca="false">IFERROR(INDEX(Summary!$B$11:$B$18,MATCH($A29,Summary!$A$11:$A$18,0)),"")</f>
        <v>TX</v>
      </c>
      <c r="C29" s="11" t="s">
        <v>36</v>
      </c>
      <c r="D29" s="11" t="n">
        <v>43</v>
      </c>
      <c r="E29" s="21" t="n">
        <v>45708</v>
      </c>
      <c r="F29" s="11" t="s">
        <v>144</v>
      </c>
      <c r="G29" s="11"/>
      <c r="H29" s="10" t="n">
        <v>106.96</v>
      </c>
      <c r="I29" s="11"/>
      <c r="J29" s="11" t="s">
        <v>97</v>
      </c>
      <c r="K29" s="22" t="n">
        <f aca="false">IF(E29="","",($B$4-E29)/365.25)</f>
        <v>1.62354551676934</v>
      </c>
      <c r="L29" s="11" t="str">
        <f aca="false">IF(K29="","no date",IF(K29&lt;1,"0-1 yrs",IF(K29&lt;2,"1-2 yrs",IF(K29&lt;3,"2-3 yrs",IF(K29&lt;5,"3-5 yrs","5+ yrs")))))</f>
        <v>1-2 yrs</v>
      </c>
      <c r="M29" s="11" t="s">
        <v>97</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1" t="n">
        <f aca="false">IF(OR(O29="",E29=""),"",EDATE(E29,12*O29))</f>
        <v>46073</v>
      </c>
      <c r="Q29" s="21"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3"/>
      <c r="W29" s="23"/>
      <c r="X29" s="23"/>
      <c r="Y29" s="8"/>
      <c r="Z29" s="10" t="n">
        <f aca="false">IF(Q29="","",IF(Q29&lt;=$B$4,N(W29)+N(X29),0))</f>
        <v>0</v>
      </c>
      <c r="AA29" s="10" t="n">
        <f aca="false">IF(OR(LEFT(N29,6)="Larger",LEFT(N29,4)="Memo"),H29,0)</f>
        <v>0</v>
      </c>
    </row>
    <row r="30" customFormat="false" ht="15" hidden="false" customHeight="false" outlineLevel="0" collapsed="false">
      <c r="A30" s="11" t="s">
        <v>36</v>
      </c>
      <c r="B30" s="12" t="str">
        <f aca="false">IFERROR(INDEX(Summary!$B$11:$B$18,MATCH($A30,Summary!$A$11:$A$18,0)),"")</f>
        <v>TX</v>
      </c>
      <c r="C30" s="11" t="s">
        <v>36</v>
      </c>
      <c r="D30" s="11" t="n">
        <v>44</v>
      </c>
      <c r="E30" s="21" t="n">
        <v>45716</v>
      </c>
      <c r="F30" s="11" t="s">
        <v>145</v>
      </c>
      <c r="G30" s="11"/>
      <c r="H30" s="10" t="n">
        <v>644</v>
      </c>
      <c r="I30" s="11" t="s">
        <v>146</v>
      </c>
      <c r="J30" s="11" t="s">
        <v>97</v>
      </c>
      <c r="K30" s="22" t="n">
        <f aca="false">IF(E30="","",($B$4-E30)/365.25)</f>
        <v>1.60164271047228</v>
      </c>
      <c r="L30" s="11" t="str">
        <f aca="false">IF(K30="","no date",IF(K30&lt;1,"0-1 yrs",IF(K30&lt;2,"1-2 yrs",IF(K30&lt;3,"2-3 yrs",IF(K30&lt;5,"3-5 yrs","5+ yrs")))))</f>
        <v>1-2 yrs</v>
      </c>
      <c r="M30" s="11" t="s">
        <v>97</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1" t="n">
        <f aca="false">IF(OR(O30="",E30=""),"",EDATE(E30,12*O30))</f>
        <v>46081</v>
      </c>
      <c r="Q30" s="21"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3"/>
      <c r="W30" s="23"/>
      <c r="X30" s="23"/>
      <c r="Y30" s="8"/>
      <c r="Z30" s="10" t="n">
        <f aca="false">IF(Q30="","",IF(Q30&lt;=$B$4,N(W30)+N(X30),0))</f>
        <v>0</v>
      </c>
      <c r="AA30" s="10" t="n">
        <f aca="false">IF(OR(LEFT(N30,6)="Larger",LEFT(N30,4)="Memo"),H30,0)</f>
        <v>0</v>
      </c>
    </row>
    <row r="31" customFormat="false" ht="15" hidden="false" customHeight="false" outlineLevel="0" collapsed="false">
      <c r="A31" s="11" t="s">
        <v>36</v>
      </c>
      <c r="B31" s="12" t="str">
        <f aca="false">IFERROR(INDEX(Summary!$B$11:$B$18,MATCH($A31,Summary!$A$11:$A$18,0)),"")</f>
        <v>TX</v>
      </c>
      <c r="C31" s="11" t="s">
        <v>36</v>
      </c>
      <c r="D31" s="11" t="n">
        <v>45</v>
      </c>
      <c r="E31" s="21" t="n">
        <v>45740</v>
      </c>
      <c r="F31" s="11" t="s">
        <v>147</v>
      </c>
      <c r="G31" s="11"/>
      <c r="H31" s="10" t="n">
        <v>750</v>
      </c>
      <c r="I31" s="11" t="s">
        <v>148</v>
      </c>
      <c r="J31" s="11" t="s">
        <v>97</v>
      </c>
      <c r="K31" s="22" t="n">
        <f aca="false">IF(E31="","",($B$4-E31)/365.25)</f>
        <v>1.53593429158111</v>
      </c>
      <c r="L31" s="11" t="str">
        <f aca="false">IF(K31="","no date",IF(K31&lt;1,"0-1 yrs",IF(K31&lt;2,"1-2 yrs",IF(K31&lt;3,"2-3 yrs",IF(K31&lt;5,"3-5 yrs","5+ yrs")))))</f>
        <v>1-2 yrs</v>
      </c>
      <c r="M31" s="11" t="s">
        <v>97</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1" t="n">
        <f aca="false">IF(OR(O31="",E31=""),"",EDATE(E31,12*O31))</f>
        <v>46105</v>
      </c>
      <c r="Q31" s="21"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3"/>
      <c r="W31" s="23"/>
      <c r="X31" s="23"/>
      <c r="Y31" s="8"/>
      <c r="Z31" s="10" t="n">
        <f aca="false">IF(Q31="","",IF(Q31&lt;=$B$4,N(W31)+N(X31),0))</f>
        <v>0</v>
      </c>
      <c r="AA31" s="10" t="n">
        <f aca="false">IF(OR(LEFT(N31,6)="Larger",LEFT(N31,4)="Memo"),H31,0)</f>
        <v>750</v>
      </c>
    </row>
    <row r="32" customFormat="false" ht="15" hidden="false" customHeight="false" outlineLevel="0" collapsed="false">
      <c r="A32" s="11" t="s">
        <v>36</v>
      </c>
      <c r="B32" s="12" t="str">
        <f aca="false">IFERROR(INDEX(Summary!$B$11:$B$18,MATCH($A32,Summary!$A$11:$A$18,0)),"")</f>
        <v>TX</v>
      </c>
      <c r="C32" s="11" t="s">
        <v>36</v>
      </c>
      <c r="D32" s="11" t="n">
        <v>46</v>
      </c>
      <c r="E32" s="21" t="n">
        <v>45819</v>
      </c>
      <c r="F32" s="11" t="s">
        <v>149</v>
      </c>
      <c r="G32" s="11"/>
      <c r="H32" s="10" t="n">
        <v>324.75</v>
      </c>
      <c r="I32" s="11" t="s">
        <v>150</v>
      </c>
      <c r="J32" s="11" t="s">
        <v>97</v>
      </c>
      <c r="K32" s="22" t="n">
        <f aca="false">IF(E32="","",($B$4-E32)/365.25)</f>
        <v>1.31964407939767</v>
      </c>
      <c r="L32" s="11" t="str">
        <f aca="false">IF(K32="","no date",IF(K32&lt;1,"0-1 yrs",IF(K32&lt;2,"1-2 yrs",IF(K32&lt;3,"2-3 yrs",IF(K32&lt;5,"3-5 yrs","5+ yrs")))))</f>
        <v>1-2 yrs</v>
      </c>
      <c r="M32" s="11" t="s">
        <v>97</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1" t="n">
        <f aca="false">IF(OR(O32="",E32=""),"",EDATE(E32,12*O32))</f>
        <v>46184</v>
      </c>
      <c r="Q32" s="21"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3"/>
      <c r="W32" s="23"/>
      <c r="X32" s="23"/>
      <c r="Y32" s="8"/>
      <c r="Z32" s="10" t="n">
        <f aca="false">IF(Q32="","",IF(Q32&lt;=$B$4,N(W32)+N(X32),0))</f>
        <v>0</v>
      </c>
      <c r="AA32" s="10" t="n">
        <f aca="false">IF(OR(LEFT(N32,6)="Larger",LEFT(N32,4)="Memo"),H32,0)</f>
        <v>324.75</v>
      </c>
    </row>
    <row r="33" customFormat="false" ht="15" hidden="false" customHeight="false" outlineLevel="0" collapsed="false">
      <c r="A33" s="11" t="s">
        <v>36</v>
      </c>
      <c r="B33" s="12" t="str">
        <f aca="false">IFERROR(INDEX(Summary!$B$11:$B$18,MATCH($A33,Summary!$A$11:$A$18,0)),"")</f>
        <v>TX</v>
      </c>
      <c r="C33" s="11" t="s">
        <v>36</v>
      </c>
      <c r="D33" s="11" t="n">
        <v>47</v>
      </c>
      <c r="E33" s="21" t="n">
        <v>45831</v>
      </c>
      <c r="F33" s="11" t="s">
        <v>151</v>
      </c>
      <c r="G33" s="11"/>
      <c r="H33" s="10" t="n">
        <v>300</v>
      </c>
      <c r="I33" s="11" t="s">
        <v>152</v>
      </c>
      <c r="J33" s="11" t="s">
        <v>97</v>
      </c>
      <c r="K33" s="22" t="n">
        <f aca="false">IF(E33="","",($B$4-E33)/365.25)</f>
        <v>1.28678986995209</v>
      </c>
      <c r="L33" s="11" t="str">
        <f aca="false">IF(K33="","no date",IF(K33&lt;1,"0-1 yrs",IF(K33&lt;2,"1-2 yrs",IF(K33&lt;3,"2-3 yrs",IF(K33&lt;5,"3-5 yrs","5+ yrs")))))</f>
        <v>1-2 yrs</v>
      </c>
      <c r="M33" s="11" t="s">
        <v>97</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1" t="n">
        <f aca="false">IF(OR(O33="",E33=""),"",EDATE(E33,12*O33))</f>
        <v>46196</v>
      </c>
      <c r="Q33" s="21"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3"/>
      <c r="W33" s="23"/>
      <c r="X33" s="23"/>
      <c r="Y33" s="8"/>
      <c r="Z33" s="10" t="n">
        <f aca="false">IF(Q33="","",IF(Q33&lt;=$B$4,N(W33)+N(X33),0))</f>
        <v>0</v>
      </c>
      <c r="AA33" s="10" t="n">
        <f aca="false">IF(OR(LEFT(N33,6)="Larger",LEFT(N33,4)="Memo"),H33,0)</f>
        <v>300</v>
      </c>
    </row>
    <row r="34" customFormat="false" ht="15" hidden="false" customHeight="false" outlineLevel="0" collapsed="false">
      <c r="A34" s="11" t="s">
        <v>36</v>
      </c>
      <c r="B34" s="12" t="str">
        <f aca="false">IFERROR(INDEX(Summary!$B$11:$B$18,MATCH($A34,Summary!$A$11:$A$18,0)),"")</f>
        <v>TX</v>
      </c>
      <c r="C34" s="11" t="s">
        <v>36</v>
      </c>
      <c r="D34" s="11" t="n">
        <v>48</v>
      </c>
      <c r="E34" s="21" t="n">
        <v>45968</v>
      </c>
      <c r="F34" s="11" t="s">
        <v>153</v>
      </c>
      <c r="G34" s="11"/>
      <c r="H34" s="10" t="n">
        <v>1239</v>
      </c>
      <c r="I34" s="11"/>
      <c r="J34" s="11" t="s">
        <v>97</v>
      </c>
      <c r="K34" s="22" t="n">
        <f aca="false">IF(E34="","",($B$4-E34)/365.25)</f>
        <v>0.91170431211499</v>
      </c>
      <c r="L34" s="11" t="str">
        <f aca="false">IF(K34="","no date",IF(K34&lt;1,"0-1 yrs",IF(K34&lt;2,"1-2 yrs",IF(K34&lt;3,"2-3 yrs",IF(K34&lt;5,"3-5 yrs","5+ yrs")))))</f>
        <v>0-1 yrs</v>
      </c>
      <c r="M34" s="11" t="s">
        <v>97</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1" t="n">
        <f aca="false">IF(OR(O34="",E34=""),"",EDATE(E34,12*O34))</f>
        <v>46333</v>
      </c>
      <c r="Q34" s="21"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3"/>
      <c r="W34" s="23"/>
      <c r="X34" s="23"/>
      <c r="Y34" s="8"/>
      <c r="Z34" s="10" t="n">
        <f aca="false">IF(Q34="","",IF(Q34&lt;=$B$4,N(W34)+N(X34),0))</f>
        <v>0</v>
      </c>
      <c r="AA34" s="10" t="n">
        <f aca="false">IF(OR(LEFT(N34,6)="Larger",LEFT(N34,4)="Memo"),H34,0)</f>
        <v>1239</v>
      </c>
    </row>
    <row r="35" customFormat="false" ht="15" hidden="false" customHeight="false" outlineLevel="0" collapsed="false">
      <c r="A35" s="11" t="s">
        <v>36</v>
      </c>
      <c r="B35" s="12" t="str">
        <f aca="false">IFERROR(INDEX(Summary!$B$11:$B$18,MATCH($A35,Summary!$A$11:$A$18,0)),"")</f>
        <v>TX</v>
      </c>
      <c r="C35" s="11" t="s">
        <v>36</v>
      </c>
      <c r="D35" s="11" t="n">
        <v>49</v>
      </c>
      <c r="E35" s="21" t="n">
        <v>45996</v>
      </c>
      <c r="F35" s="11" t="s">
        <v>154</v>
      </c>
      <c r="G35" s="11"/>
      <c r="H35" s="10" t="n">
        <v>800</v>
      </c>
      <c r="I35" s="11" t="s">
        <v>155</v>
      </c>
      <c r="J35" s="11" t="s">
        <v>97</v>
      </c>
      <c r="K35" s="22" t="n">
        <f aca="false">IF(E35="","",($B$4-E35)/365.25)</f>
        <v>0.835044490075291</v>
      </c>
      <c r="L35" s="11" t="str">
        <f aca="false">IF(K35="","no date",IF(K35&lt;1,"0-1 yrs",IF(K35&lt;2,"1-2 yrs",IF(K35&lt;3,"2-3 yrs",IF(K35&lt;5,"3-5 yrs","5+ yrs")))))</f>
        <v>0-1 yrs</v>
      </c>
      <c r="M35" s="11" t="s">
        <v>97</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1" t="n">
        <f aca="false">IF(OR(O35="",E35=""),"",EDATE(E35,12*O35))</f>
        <v>46361</v>
      </c>
      <c r="Q35" s="21"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3"/>
      <c r="W35" s="23"/>
      <c r="X35" s="23"/>
      <c r="Y35" s="8"/>
      <c r="Z35" s="10" t="n">
        <f aca="false">IF(Q35="","",IF(Q35&lt;=$B$4,N(W35)+N(X35),0))</f>
        <v>0</v>
      </c>
      <c r="AA35" s="10" t="n">
        <f aca="false">IF(OR(LEFT(N35,6)="Larger",LEFT(N35,4)="Memo"),H35,0)</f>
        <v>800</v>
      </c>
    </row>
    <row r="36" customFormat="false" ht="15" hidden="false" customHeight="false" outlineLevel="0" collapsed="false">
      <c r="A36" s="11" t="s">
        <v>36</v>
      </c>
      <c r="B36" s="12" t="str">
        <f aca="false">IFERROR(INDEX(Summary!$B$11:$B$18,MATCH($A36,Summary!$A$11:$A$18,0)),"")</f>
        <v>TX</v>
      </c>
      <c r="C36" s="11" t="s">
        <v>36</v>
      </c>
      <c r="D36" s="11" t="n">
        <v>50</v>
      </c>
      <c r="E36" s="21" t="n">
        <v>46000</v>
      </c>
      <c r="F36" s="11" t="s">
        <v>156</v>
      </c>
      <c r="G36" s="11"/>
      <c r="H36" s="10" t="n">
        <v>824.12</v>
      </c>
      <c r="I36" s="11"/>
      <c r="J36" s="11" t="s">
        <v>97</v>
      </c>
      <c r="K36" s="22" t="n">
        <f aca="false">IF(E36="","",($B$4-E36)/365.25)</f>
        <v>0.824093086926763</v>
      </c>
      <c r="L36" s="11" t="str">
        <f aca="false">IF(K36="","no date",IF(K36&lt;1,"0-1 yrs",IF(K36&lt;2,"1-2 yrs",IF(K36&lt;3,"2-3 yrs",IF(K36&lt;5,"3-5 yrs","5+ yrs")))))</f>
        <v>0-1 yrs</v>
      </c>
      <c r="M36" s="11" t="s">
        <v>97</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1" t="n">
        <f aca="false">IF(OR(O36="",E36=""),"",EDATE(E36,12*O36))</f>
        <v>46365</v>
      </c>
      <c r="Q36" s="21"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3"/>
      <c r="W36" s="23"/>
      <c r="X36" s="23"/>
      <c r="Y36" s="8"/>
      <c r="Z36" s="10" t="n">
        <f aca="false">IF(Q36="","",IF(Q36&lt;=$B$4,N(W36)+N(X36),0))</f>
        <v>0</v>
      </c>
      <c r="AA36" s="10" t="n">
        <f aca="false">IF(OR(LEFT(N36,6)="Larger",LEFT(N36,4)="Memo"),H36,0)</f>
        <v>824.12</v>
      </c>
    </row>
    <row r="37" customFormat="false" ht="15" hidden="false" customHeight="false" outlineLevel="0" collapsed="false">
      <c r="A37" s="11" t="s">
        <v>36</v>
      </c>
      <c r="B37" s="12" t="str">
        <f aca="false">IFERROR(INDEX(Summary!$B$11:$B$18,MATCH($A37,Summary!$A$11:$A$18,0)),"")</f>
        <v>TX</v>
      </c>
      <c r="C37" s="11" t="s">
        <v>36</v>
      </c>
      <c r="D37" s="11" t="n">
        <v>51</v>
      </c>
      <c r="E37" s="21" t="n">
        <v>46000</v>
      </c>
      <c r="F37" s="11" t="s">
        <v>157</v>
      </c>
      <c r="G37" s="11"/>
      <c r="H37" s="10" t="n">
        <v>1450</v>
      </c>
      <c r="I37" s="11" t="s">
        <v>158</v>
      </c>
      <c r="J37" s="11" t="s">
        <v>97</v>
      </c>
      <c r="K37" s="22" t="n">
        <f aca="false">IF(E37="","",($B$4-E37)/365.25)</f>
        <v>0.824093086926763</v>
      </c>
      <c r="L37" s="11" t="str">
        <f aca="false">IF(K37="","no date",IF(K37&lt;1,"0-1 yrs",IF(K37&lt;2,"1-2 yrs",IF(K37&lt;3,"2-3 yrs",IF(K37&lt;5,"3-5 yrs","5+ yrs")))))</f>
        <v>0-1 yrs</v>
      </c>
      <c r="M37" s="11" t="s">
        <v>97</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1" t="n">
        <f aca="false">IF(OR(O37="",E37=""),"",EDATE(E37,12*O37))</f>
        <v>46365</v>
      </c>
      <c r="Q37" s="21"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3"/>
      <c r="W37" s="23"/>
      <c r="X37" s="23"/>
      <c r="Y37" s="8"/>
      <c r="Z37" s="10" t="n">
        <f aca="false">IF(Q37="","",IF(Q37&lt;=$B$4,N(W37)+N(X37),0))</f>
        <v>0</v>
      </c>
      <c r="AA37" s="10" t="n">
        <f aca="false">IF(OR(LEFT(N37,6)="Larger",LEFT(N37,4)="Memo"),H37,0)</f>
        <v>1450</v>
      </c>
    </row>
    <row r="38" customFormat="false" ht="15" hidden="false" customHeight="false" outlineLevel="0" collapsed="false">
      <c r="A38" s="11" t="s">
        <v>36</v>
      </c>
      <c r="B38" s="12" t="str">
        <f aca="false">IFERROR(INDEX(Summary!$B$11:$B$18,MATCH($A38,Summary!$A$11:$A$18,0)),"")</f>
        <v>TX</v>
      </c>
      <c r="C38" s="11" t="s">
        <v>36</v>
      </c>
      <c r="D38" s="11" t="n">
        <v>52</v>
      </c>
      <c r="E38" s="21" t="n">
        <v>46064</v>
      </c>
      <c r="F38" s="11" t="s">
        <v>159</v>
      </c>
      <c r="G38" s="11" t="s">
        <v>160</v>
      </c>
      <c r="H38" s="10" t="n">
        <v>41.87</v>
      </c>
      <c r="I38" s="11"/>
      <c r="J38" s="11" t="s">
        <v>97</v>
      </c>
      <c r="K38" s="22" t="n">
        <f aca="false">IF(E38="","",($B$4-E38)/365.25)</f>
        <v>0.648870636550308</v>
      </c>
      <c r="L38" s="11" t="str">
        <f aca="false">IF(K38="","no date",IF(K38&lt;1,"0-1 yrs",IF(K38&lt;2,"1-2 yrs",IF(K38&lt;3,"2-3 yrs",IF(K38&lt;5,"3-5 yrs","5+ yrs")))))</f>
        <v>0-1 yrs</v>
      </c>
      <c r="M38" s="11" t="s">
        <v>97</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1" t="n">
        <f aca="false">IF(OR(O38="",E38=""),"",EDATE(E38,12*O38))</f>
        <v>46429</v>
      </c>
      <c r="Q38" s="21"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3"/>
      <c r="W38" s="23"/>
      <c r="X38" s="23"/>
      <c r="Y38" s="8"/>
      <c r="Z38" s="10" t="n">
        <f aca="false">IF(Q38="","",IF(Q38&lt;=$B$4,N(W38)+N(X38),0))</f>
        <v>0</v>
      </c>
      <c r="AA38" s="10" t="n">
        <f aca="false">IF(OR(LEFT(N38,6)="Larger",LEFT(N38,4)="Memo"),H38,0)</f>
        <v>0</v>
      </c>
    </row>
    <row r="39" customFormat="false" ht="15" hidden="false" customHeight="false" outlineLevel="0" collapsed="false">
      <c r="A39" s="11" t="s">
        <v>36</v>
      </c>
      <c r="B39" s="12" t="str">
        <f aca="false">IFERROR(INDEX(Summary!$B$11:$B$18,MATCH($A39,Summary!$A$11:$A$18,0)),"")</f>
        <v>TX</v>
      </c>
      <c r="C39" s="11" t="s">
        <v>36</v>
      </c>
      <c r="D39" s="11" t="n">
        <v>53</v>
      </c>
      <c r="E39" s="21" t="n">
        <v>46134</v>
      </c>
      <c r="F39" s="11" t="s">
        <v>161</v>
      </c>
      <c r="G39" s="11" t="s">
        <v>102</v>
      </c>
      <c r="H39" s="10" t="n">
        <v>394</v>
      </c>
      <c r="I39" s="11" t="s">
        <v>162</v>
      </c>
      <c r="J39" s="11" t="s">
        <v>97</v>
      </c>
      <c r="K39" s="22" t="n">
        <f aca="false">IF(E39="","",($B$4-E39)/365.25)</f>
        <v>0.457221081451061</v>
      </c>
      <c r="L39" s="11" t="str">
        <f aca="false">IF(K39="","no date",IF(K39&lt;1,"0-1 yrs",IF(K39&lt;2,"1-2 yrs",IF(K39&lt;3,"2-3 yrs",IF(K39&lt;5,"3-5 yrs","5+ yrs")))))</f>
        <v>0-1 yrs</v>
      </c>
      <c r="M39" s="11" t="s">
        <v>97</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1" t="n">
        <f aca="false">IF(OR(O39="",E39=""),"",EDATE(E39,12*O39))</f>
        <v>46499</v>
      </c>
      <c r="Q39" s="21"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3"/>
      <c r="W39" s="23"/>
      <c r="X39" s="23"/>
      <c r="Y39" s="8"/>
      <c r="Z39" s="10" t="n">
        <f aca="false">IF(Q39="","",IF(Q39&lt;=$B$4,N(W39)+N(X39),0))</f>
        <v>0</v>
      </c>
      <c r="AA39" s="10" t="n">
        <f aca="false">IF(OR(LEFT(N39,6)="Larger",LEFT(N39,4)="Memo"),H39,0)</f>
        <v>394</v>
      </c>
    </row>
    <row r="40" customFormat="false" ht="15" hidden="false" customHeight="false" outlineLevel="0" collapsed="false">
      <c r="A40" s="11" t="s">
        <v>36</v>
      </c>
      <c r="B40" s="12" t="str">
        <f aca="false">IFERROR(INDEX(Summary!$B$11:$B$18,MATCH($A40,Summary!$A$11:$A$18,0)),"")</f>
        <v>TX</v>
      </c>
      <c r="C40" s="11" t="s">
        <v>36</v>
      </c>
      <c r="D40" s="11" t="n">
        <v>54</v>
      </c>
      <c r="E40" s="21" t="n">
        <v>46146</v>
      </c>
      <c r="F40" s="11" t="s">
        <v>163</v>
      </c>
      <c r="G40" s="11"/>
      <c r="H40" s="10" t="n">
        <v>540</v>
      </c>
      <c r="I40" s="11"/>
      <c r="J40" s="11" t="s">
        <v>97</v>
      </c>
      <c r="K40" s="22" t="n">
        <f aca="false">IF(E40="","",($B$4-E40)/365.25)</f>
        <v>0.424366872005476</v>
      </c>
      <c r="L40" s="11" t="str">
        <f aca="false">IF(K40="","no date",IF(K40&lt;1,"0-1 yrs",IF(K40&lt;2,"1-2 yrs",IF(K40&lt;3,"2-3 yrs",IF(K40&lt;5,"3-5 yrs","5+ yrs")))))</f>
        <v>0-1 yrs</v>
      </c>
      <c r="M40" s="11" t="s">
        <v>97</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1" t="n">
        <f aca="false">IF(OR(O40="",E40=""),"",EDATE(E40,12*O40))</f>
        <v>46511</v>
      </c>
      <c r="Q40" s="21"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3"/>
      <c r="W40" s="23"/>
      <c r="X40" s="23"/>
      <c r="Y40" s="8"/>
      <c r="Z40" s="10" t="n">
        <f aca="false">IF(Q40="","",IF(Q40&lt;=$B$4,N(W40)+N(X40),0))</f>
        <v>0</v>
      </c>
      <c r="AA40" s="10" t="n">
        <f aca="false">IF(OR(LEFT(N40,6)="Larger",LEFT(N40,4)="Memo"),H40,0)</f>
        <v>540</v>
      </c>
    </row>
    <row r="41" customFormat="false" ht="15" hidden="false" customHeight="false" outlineLevel="0" collapsed="false">
      <c r="A41" s="11" t="s">
        <v>36</v>
      </c>
      <c r="B41" s="12" t="str">
        <f aca="false">IFERROR(INDEX(Summary!$B$11:$B$18,MATCH($A41,Summary!$A$11:$A$18,0)),"")</f>
        <v>TX</v>
      </c>
      <c r="C41" s="11" t="s">
        <v>36</v>
      </c>
      <c r="D41" s="11" t="n">
        <v>56</v>
      </c>
      <c r="E41" s="21" t="n">
        <v>46195</v>
      </c>
      <c r="F41" s="11" t="s">
        <v>164</v>
      </c>
      <c r="G41" s="11" t="s">
        <v>165</v>
      </c>
      <c r="H41" s="10" t="n">
        <v>9761.14</v>
      </c>
      <c r="I41" s="11" t="s">
        <v>166</v>
      </c>
      <c r="J41" s="11" t="s">
        <v>97</v>
      </c>
      <c r="K41" s="22" t="n">
        <f aca="false">IF(E41="","",($B$4-E41)/365.25)</f>
        <v>0.290212183436003</v>
      </c>
      <c r="L41" s="11" t="str">
        <f aca="false">IF(K41="","no date",IF(K41&lt;1,"0-1 yrs",IF(K41&lt;2,"1-2 yrs",IF(K41&lt;3,"2-3 yrs",IF(K41&lt;5,"3-5 yrs","5+ yrs")))))</f>
        <v>0-1 yrs</v>
      </c>
      <c r="M41" s="24" t="s">
        <v>108</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1" t="n">
        <f aca="false">IF(OR(O41="",E41=""),"",EDATE(E41,12*O41))</f>
        <v>46560</v>
      </c>
      <c r="Q41" s="21"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3"/>
      <c r="W41" s="23"/>
      <c r="X41" s="23"/>
      <c r="Y41" s="8"/>
      <c r="Z41" s="10" t="n">
        <f aca="false">IF(Q41="","",IF(Q41&lt;=$B$4,N(W41)+N(X41),0))</f>
        <v>0</v>
      </c>
      <c r="AA41" s="10" t="n">
        <f aca="false">IF(OR(LEFT(N41,6)="Larger",LEFT(N41,4)="Memo"),H41,0)</f>
        <v>9761.14</v>
      </c>
    </row>
    <row r="42" customFormat="false" ht="15" hidden="false" customHeight="false" outlineLevel="0" collapsed="false">
      <c r="A42" s="11" t="s">
        <v>36</v>
      </c>
      <c r="B42" s="12" t="str">
        <f aca="false">IFERROR(INDEX(Summary!$B$11:$B$18,MATCH($A42,Summary!$A$11:$A$18,0)),"")</f>
        <v>TX</v>
      </c>
      <c r="C42" s="11" t="s">
        <v>36</v>
      </c>
      <c r="D42" s="11" t="n">
        <v>57</v>
      </c>
      <c r="E42" s="21" t="n">
        <v>46202</v>
      </c>
      <c r="F42" s="11" t="s">
        <v>167</v>
      </c>
      <c r="G42" s="11" t="s">
        <v>168</v>
      </c>
      <c r="H42" s="10" t="n">
        <v>4176</v>
      </c>
      <c r="I42" s="11"/>
      <c r="J42" s="11" t="s">
        <v>97</v>
      </c>
      <c r="K42" s="22" t="n">
        <f aca="false">IF(E42="","",($B$4-E42)/365.25)</f>
        <v>0.271047227926078</v>
      </c>
      <c r="L42" s="11" t="str">
        <f aca="false">IF(K42="","no date",IF(K42&lt;1,"0-1 yrs",IF(K42&lt;2,"1-2 yrs",IF(K42&lt;3,"2-3 yrs",IF(K42&lt;5,"3-5 yrs","5+ yrs")))))</f>
        <v>0-1 yrs</v>
      </c>
      <c r="M42" s="11" t="s">
        <v>97</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1" t="n">
        <f aca="false">IF(OR(O42="",E42=""),"",EDATE(E42,12*O42))</f>
        <v>46567</v>
      </c>
      <c r="Q42" s="21"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3"/>
      <c r="W42" s="23"/>
      <c r="X42" s="23"/>
      <c r="Y42" s="8"/>
      <c r="Z42" s="10" t="n">
        <f aca="false">IF(Q42="","",IF(Q42&lt;=$B$4,N(W42)+N(X42),0))</f>
        <v>0</v>
      </c>
      <c r="AA42" s="10" t="n">
        <f aca="false">IF(OR(LEFT(N42,6)="Larger",LEFT(N42,4)="Memo"),H42,0)</f>
        <v>4176</v>
      </c>
    </row>
    <row r="43" customFormat="false" ht="15" hidden="false" customHeight="false" outlineLevel="0" collapsed="false">
      <c r="A43" s="11" t="s">
        <v>36</v>
      </c>
      <c r="B43" s="12" t="str">
        <f aca="false">IFERROR(INDEX(Summary!$B$11:$B$18,MATCH($A43,Summary!$A$11:$A$18,0)),"")</f>
        <v>TX</v>
      </c>
      <c r="C43" s="11" t="s">
        <v>36</v>
      </c>
      <c r="D43" s="11" t="n">
        <v>58</v>
      </c>
      <c r="E43" s="21" t="n">
        <v>46213</v>
      </c>
      <c r="F43" s="11" t="s">
        <v>169</v>
      </c>
      <c r="G43" s="11" t="s">
        <v>170</v>
      </c>
      <c r="H43" s="10" t="n">
        <v>2280</v>
      </c>
      <c r="I43" s="11" t="s">
        <v>171</v>
      </c>
      <c r="J43" s="11" t="s">
        <v>97</v>
      </c>
      <c r="K43" s="22" t="n">
        <f aca="false">IF(E43="","",($B$4-E43)/365.25)</f>
        <v>0.240930869267625</v>
      </c>
      <c r="L43" s="11" t="str">
        <f aca="false">IF(K43="","no date",IF(K43&lt;1,"0-1 yrs",IF(K43&lt;2,"1-2 yrs",IF(K43&lt;3,"2-3 yrs",IF(K43&lt;5,"3-5 yrs","5+ yrs")))))</f>
        <v>0-1 yrs</v>
      </c>
      <c r="M43" s="24" t="s">
        <v>108</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1" t="n">
        <f aca="false">IF(OR(O43="",E43=""),"",EDATE(E43,12*O43))</f>
        <v>46578</v>
      </c>
      <c r="Q43" s="21"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3"/>
      <c r="W43" s="23"/>
      <c r="X43" s="23"/>
      <c r="Y43" s="8"/>
      <c r="Z43" s="10" t="n">
        <f aca="false">IF(Q43="","",IF(Q43&lt;=$B$4,N(W43)+N(X43),0))</f>
        <v>0</v>
      </c>
      <c r="AA43" s="10" t="n">
        <f aca="false">IF(OR(LEFT(N43,6)="Larger",LEFT(N43,4)="Memo"),H43,0)</f>
        <v>2280</v>
      </c>
    </row>
    <row r="44" customFormat="false" ht="15" hidden="false" customHeight="false" outlineLevel="0" collapsed="false">
      <c r="A44" s="11" t="s">
        <v>36</v>
      </c>
      <c r="B44" s="12" t="str">
        <f aca="false">IFERROR(INDEX(Summary!$B$11:$B$18,MATCH($A44,Summary!$A$11:$A$18,0)),"")</f>
        <v>TX</v>
      </c>
      <c r="C44" s="11" t="s">
        <v>36</v>
      </c>
      <c r="D44" s="11" t="n">
        <v>59</v>
      </c>
      <c r="E44" s="21" t="n">
        <v>46216</v>
      </c>
      <c r="F44" s="11" t="s">
        <v>172</v>
      </c>
      <c r="G44" s="11" t="s">
        <v>173</v>
      </c>
      <c r="H44" s="10" t="n">
        <v>238</v>
      </c>
      <c r="I44" s="11" t="s">
        <v>174</v>
      </c>
      <c r="J44" s="11" t="s">
        <v>97</v>
      </c>
      <c r="K44" s="22" t="n">
        <f aca="false">IF(E44="","",($B$4-E44)/365.25)</f>
        <v>0.232717316906229</v>
      </c>
      <c r="L44" s="11" t="str">
        <f aca="false">IF(K44="","no date",IF(K44&lt;1,"0-1 yrs",IF(K44&lt;2,"1-2 yrs",IF(K44&lt;3,"2-3 yrs",IF(K44&lt;5,"3-5 yrs","5+ yrs")))))</f>
        <v>0-1 yrs</v>
      </c>
      <c r="M44" s="11" t="s">
        <v>97</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1" t="n">
        <f aca="false">IF(OR(O44="",E44=""),"",EDATE(E44,12*O44))</f>
        <v>46581</v>
      </c>
      <c r="Q44" s="21"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3"/>
      <c r="W44" s="23"/>
      <c r="X44" s="23"/>
      <c r="Y44" s="8"/>
      <c r="Z44" s="10" t="n">
        <f aca="false">IF(Q44="","",IF(Q44&lt;=$B$4,N(W44)+N(X44),0))</f>
        <v>0</v>
      </c>
      <c r="AA44" s="10" t="n">
        <f aca="false">IF(OR(LEFT(N44,6)="Larger",LEFT(N44,4)="Memo"),H44,0)</f>
        <v>0</v>
      </c>
    </row>
    <row r="45" customFormat="false" ht="15" hidden="false" customHeight="false" outlineLevel="0" collapsed="false">
      <c r="A45" s="11" t="s">
        <v>36</v>
      </c>
      <c r="B45" s="12" t="str">
        <f aca="false">IFERROR(INDEX(Summary!$B$11:$B$18,MATCH($A45,Summary!$A$11:$A$18,0)),"")</f>
        <v>TX</v>
      </c>
      <c r="C45" s="11" t="s">
        <v>36</v>
      </c>
      <c r="D45" s="11" t="n">
        <v>60</v>
      </c>
      <c r="E45" s="21" t="n">
        <v>46216</v>
      </c>
      <c r="F45" s="11" t="s">
        <v>175</v>
      </c>
      <c r="G45" s="11"/>
      <c r="H45" s="10" t="n">
        <v>89.75</v>
      </c>
      <c r="I45" s="11" t="s">
        <v>176</v>
      </c>
      <c r="J45" s="11" t="s">
        <v>97</v>
      </c>
      <c r="K45" s="22" t="n">
        <f aca="false">IF(E45="","",($B$4-E45)/365.25)</f>
        <v>0.232717316906229</v>
      </c>
      <c r="L45" s="11" t="str">
        <f aca="false">IF(K45="","no date",IF(K45&lt;1,"0-1 yrs",IF(K45&lt;2,"1-2 yrs",IF(K45&lt;3,"2-3 yrs",IF(K45&lt;5,"3-5 yrs","5+ yrs")))))</f>
        <v>0-1 yrs</v>
      </c>
      <c r="M45" s="11" t="s">
        <v>97</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1" t="n">
        <f aca="false">IF(OR(O45="",E45=""),"",EDATE(E45,12*O45))</f>
        <v>46581</v>
      </c>
      <c r="Q45" s="21"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3"/>
      <c r="W45" s="23"/>
      <c r="X45" s="23"/>
      <c r="Y45" s="8"/>
      <c r="Z45" s="10" t="n">
        <f aca="false">IF(Q45="","",IF(Q45&lt;=$B$4,N(W45)+N(X45),0))</f>
        <v>0</v>
      </c>
      <c r="AA45" s="10" t="n">
        <f aca="false">IF(OR(LEFT(N45,6)="Larger",LEFT(N45,4)="Memo"),H45,0)</f>
        <v>0</v>
      </c>
    </row>
    <row r="46" customFormat="false" ht="15" hidden="false" customHeight="false" outlineLevel="0" collapsed="false">
      <c r="A46" s="11" t="s">
        <v>36</v>
      </c>
      <c r="B46" s="12" t="str">
        <f aca="false">IFERROR(INDEX(Summary!$B$11:$B$18,MATCH($A46,Summary!$A$11:$A$18,0)),"")</f>
        <v>TX</v>
      </c>
      <c r="C46" s="11" t="s">
        <v>36</v>
      </c>
      <c r="D46" s="11" t="n">
        <v>61</v>
      </c>
      <c r="E46" s="21" t="n">
        <v>46223</v>
      </c>
      <c r="F46" s="11" t="s">
        <v>177</v>
      </c>
      <c r="G46" s="11" t="s">
        <v>178</v>
      </c>
      <c r="H46" s="10" t="n">
        <v>69</v>
      </c>
      <c r="I46" s="11" t="s">
        <v>179</v>
      </c>
      <c r="J46" s="11" t="s">
        <v>97</v>
      </c>
      <c r="K46" s="22" t="n">
        <f aca="false">IF(E46="","",($B$4-E46)/365.25)</f>
        <v>0.213552361396304</v>
      </c>
      <c r="L46" s="11" t="str">
        <f aca="false">IF(K46="","no date",IF(K46&lt;1,"0-1 yrs",IF(K46&lt;2,"1-2 yrs",IF(K46&lt;3,"2-3 yrs",IF(K46&lt;5,"3-5 yrs","5+ yrs")))))</f>
        <v>0-1 yrs</v>
      </c>
      <c r="M46" s="11" t="s">
        <v>97</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1" t="n">
        <f aca="false">IF(OR(O46="",E46=""),"",EDATE(E46,12*O46))</f>
        <v>46588</v>
      </c>
      <c r="Q46" s="21"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3"/>
      <c r="W46" s="23"/>
      <c r="X46" s="23"/>
      <c r="Y46" s="8"/>
      <c r="Z46" s="10" t="n">
        <f aca="false">IF(Q46="","",IF(Q46&lt;=$B$4,N(W46)+N(X46),0))</f>
        <v>0</v>
      </c>
      <c r="AA46" s="10" t="n">
        <f aca="false">IF(OR(LEFT(N46,6)="Larger",LEFT(N46,4)="Memo"),H46,0)</f>
        <v>0</v>
      </c>
    </row>
    <row r="47" customFormat="false" ht="15" hidden="false" customHeight="false" outlineLevel="0" collapsed="false">
      <c r="A47" s="11" t="s">
        <v>36</v>
      </c>
      <c r="B47" s="12" t="str">
        <f aca="false">IFERROR(INDEX(Summary!$B$11:$B$18,MATCH($A47,Summary!$A$11:$A$18,0)),"")</f>
        <v>TX</v>
      </c>
      <c r="C47" s="11" t="s">
        <v>36</v>
      </c>
      <c r="D47" s="11" t="n">
        <v>62</v>
      </c>
      <c r="E47" s="21" t="n">
        <v>46224</v>
      </c>
      <c r="F47" s="11" t="s">
        <v>180</v>
      </c>
      <c r="G47" s="11" t="s">
        <v>181</v>
      </c>
      <c r="H47" s="10" t="n">
        <v>6078</v>
      </c>
      <c r="I47" s="11" t="s">
        <v>182</v>
      </c>
      <c r="J47" s="11" t="s">
        <v>97</v>
      </c>
      <c r="K47" s="22" t="n">
        <f aca="false">IF(E47="","",($B$4-E47)/365.25)</f>
        <v>0.210814510609172</v>
      </c>
      <c r="L47" s="11" t="str">
        <f aca="false">IF(K47="","no date",IF(K47&lt;1,"0-1 yrs",IF(K47&lt;2,"1-2 yrs",IF(K47&lt;3,"2-3 yrs",IF(K47&lt;5,"3-5 yrs","5+ yrs")))))</f>
        <v>0-1 yrs</v>
      </c>
      <c r="M47" s="24" t="s">
        <v>108</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1" t="n">
        <f aca="false">IF(OR(O47="",E47=""),"",EDATE(E47,12*O47))</f>
        <v>46589</v>
      </c>
      <c r="Q47" s="21"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3"/>
      <c r="W47" s="23"/>
      <c r="X47" s="23"/>
      <c r="Y47" s="8"/>
      <c r="Z47" s="10" t="n">
        <f aca="false">IF(Q47="","",IF(Q47&lt;=$B$4,N(W47)+N(X47),0))</f>
        <v>0</v>
      </c>
      <c r="AA47" s="10" t="n">
        <f aca="false">IF(OR(LEFT(N47,6)="Larger",LEFT(N47,4)="Memo"),H47,0)</f>
        <v>6078</v>
      </c>
    </row>
    <row r="48" customFormat="false" ht="15" hidden="false" customHeight="false" outlineLevel="0" collapsed="false">
      <c r="A48" s="11" t="s">
        <v>36</v>
      </c>
      <c r="B48" s="12" t="str">
        <f aca="false">IFERROR(INDEX(Summary!$B$11:$B$18,MATCH($A48,Summary!$A$11:$A$18,0)),"")</f>
        <v>TX</v>
      </c>
      <c r="C48" s="11" t="s">
        <v>36</v>
      </c>
      <c r="D48" s="11" t="n">
        <v>63</v>
      </c>
      <c r="E48" s="21" t="n">
        <v>46231</v>
      </c>
      <c r="F48" s="11" t="s">
        <v>183</v>
      </c>
      <c r="G48" s="11" t="s">
        <v>184</v>
      </c>
      <c r="H48" s="10" t="n">
        <v>701.5</v>
      </c>
      <c r="I48" s="11" t="s">
        <v>185</v>
      </c>
      <c r="J48" s="11" t="s">
        <v>97</v>
      </c>
      <c r="K48" s="22" t="n">
        <f aca="false">IF(E48="","",($B$4-E48)/365.25)</f>
        <v>0.191649555099247</v>
      </c>
      <c r="L48" s="11" t="str">
        <f aca="false">IF(K48="","no date",IF(K48&lt;1,"0-1 yrs",IF(K48&lt;2,"1-2 yrs",IF(K48&lt;3,"2-3 yrs",IF(K48&lt;5,"3-5 yrs","5+ yrs")))))</f>
        <v>0-1 yrs</v>
      </c>
      <c r="M48" s="24" t="s">
        <v>108</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1" t="n">
        <f aca="false">IF(OR(O48="",E48=""),"",EDATE(E48,12*O48))</f>
        <v>46596</v>
      </c>
      <c r="Q48" s="21"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3"/>
      <c r="W48" s="23"/>
      <c r="X48" s="23"/>
      <c r="Y48" s="8"/>
      <c r="Z48" s="10" t="n">
        <f aca="false">IF(Q48="","",IF(Q48&lt;=$B$4,N(W48)+N(X48),0))</f>
        <v>0</v>
      </c>
      <c r="AA48" s="10" t="n">
        <f aca="false">IF(OR(LEFT(N48,6)="Larger",LEFT(N48,4)="Memo"),H48,0)</f>
        <v>701.5</v>
      </c>
    </row>
    <row r="49" customFormat="false" ht="15" hidden="false" customHeight="false" outlineLevel="0" collapsed="false">
      <c r="A49" s="11" t="s">
        <v>36</v>
      </c>
      <c r="B49" s="12" t="str">
        <f aca="false">IFERROR(INDEX(Summary!$B$11:$B$18,MATCH($A49,Summary!$A$11:$A$18,0)),"")</f>
        <v>TX</v>
      </c>
      <c r="C49" s="11" t="s">
        <v>36</v>
      </c>
      <c r="D49" s="11" t="n">
        <v>66</v>
      </c>
      <c r="E49" s="21" t="n">
        <v>46241</v>
      </c>
      <c r="F49" s="11" t="s">
        <v>186</v>
      </c>
      <c r="G49" s="11" t="s">
        <v>187</v>
      </c>
      <c r="H49" s="10" t="n">
        <v>532.5</v>
      </c>
      <c r="I49" s="11"/>
      <c r="J49" s="11" t="s">
        <v>97</v>
      </c>
      <c r="K49" s="22" t="n">
        <f aca="false">IF(E49="","",($B$4-E49)/365.25)</f>
        <v>0.164271047227926</v>
      </c>
      <c r="L49" s="11" t="str">
        <f aca="false">IF(K49="","no date",IF(K49&lt;1,"0-1 yrs",IF(K49&lt;2,"1-2 yrs",IF(K49&lt;3,"2-3 yrs",IF(K49&lt;5,"3-5 yrs","5+ yrs")))))</f>
        <v>0-1 yrs</v>
      </c>
      <c r="M49" s="11" t="s">
        <v>97</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1" t="n">
        <f aca="false">IF(OR(O49="",E49=""),"",EDATE(E49,12*O49))</f>
        <v>46606</v>
      </c>
      <c r="Q49" s="21"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3"/>
      <c r="W49" s="23"/>
      <c r="X49" s="23"/>
      <c r="Y49" s="8"/>
      <c r="Z49" s="10" t="n">
        <f aca="false">IF(Q49="","",IF(Q49&lt;=$B$4,N(W49)+N(X49),0))</f>
        <v>0</v>
      </c>
      <c r="AA49" s="10" t="n">
        <f aca="false">IF(OR(LEFT(N49,6)="Larger",LEFT(N49,4)="Memo"),H49,0)</f>
        <v>532.5</v>
      </c>
    </row>
    <row r="50" customFormat="false" ht="15" hidden="false" customHeight="false" outlineLevel="0" collapsed="false">
      <c r="A50" s="11" t="s">
        <v>36</v>
      </c>
      <c r="B50" s="12" t="str">
        <f aca="false">IFERROR(INDEX(Summary!$B$11:$B$18,MATCH($A50,Summary!$A$11:$A$18,0)),"")</f>
        <v>TX</v>
      </c>
      <c r="C50" s="11" t="s">
        <v>36</v>
      </c>
      <c r="D50" s="11" t="n">
        <v>67</v>
      </c>
      <c r="E50" s="21" t="n">
        <v>46244</v>
      </c>
      <c r="F50" s="11" t="s">
        <v>188</v>
      </c>
      <c r="G50" s="11" t="s">
        <v>189</v>
      </c>
      <c r="H50" s="10" t="n">
        <v>2691</v>
      </c>
      <c r="I50" s="11" t="s">
        <v>190</v>
      </c>
      <c r="J50" s="11" t="s">
        <v>97</v>
      </c>
      <c r="K50" s="22" t="n">
        <f aca="false">IF(E50="","",($B$4-E50)/365.25)</f>
        <v>0.15605749486653</v>
      </c>
      <c r="L50" s="11" t="str">
        <f aca="false">IF(K50="","no date",IF(K50&lt;1,"0-1 yrs",IF(K50&lt;2,"1-2 yrs",IF(K50&lt;3,"2-3 yrs",IF(K50&lt;5,"3-5 yrs","5+ yrs")))))</f>
        <v>0-1 yrs</v>
      </c>
      <c r="M50" s="11" t="s">
        <v>97</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1" t="n">
        <f aca="false">IF(OR(O50="",E50=""),"",EDATE(E50,12*O50))</f>
        <v>46609</v>
      </c>
      <c r="Q50" s="21"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3"/>
      <c r="W50" s="23"/>
      <c r="X50" s="23"/>
      <c r="Y50" s="8"/>
      <c r="Z50" s="10" t="n">
        <f aca="false">IF(Q50="","",IF(Q50&lt;=$B$4,N(W50)+N(X50),0))</f>
        <v>0</v>
      </c>
      <c r="AA50" s="10" t="n">
        <f aca="false">IF(OR(LEFT(N50,6)="Larger",LEFT(N50,4)="Memo"),H50,0)</f>
        <v>2691</v>
      </c>
    </row>
    <row r="51" customFormat="false" ht="15" hidden="false" customHeight="false" outlineLevel="0" collapsed="false">
      <c r="A51" s="11" t="s">
        <v>36</v>
      </c>
      <c r="B51" s="12" t="str">
        <f aca="false">IFERROR(INDEX(Summary!$B$11:$B$18,MATCH($A51,Summary!$A$11:$A$18,0)),"")</f>
        <v>TX</v>
      </c>
      <c r="C51" s="11" t="s">
        <v>36</v>
      </c>
      <c r="D51" s="11" t="n">
        <v>68</v>
      </c>
      <c r="E51" s="21" t="n">
        <v>46245</v>
      </c>
      <c r="F51" s="11" t="s">
        <v>191</v>
      </c>
      <c r="G51" s="11" t="s">
        <v>192</v>
      </c>
      <c r="H51" s="10" t="n">
        <v>1000</v>
      </c>
      <c r="I51" s="11" t="s">
        <v>193</v>
      </c>
      <c r="J51" s="11" t="s">
        <v>97</v>
      </c>
      <c r="K51" s="22" t="n">
        <f aca="false">IF(E51="","",($B$4-E51)/365.25)</f>
        <v>0.153319644079398</v>
      </c>
      <c r="L51" s="11" t="str">
        <f aca="false">IF(K51="","no date",IF(K51&lt;1,"0-1 yrs",IF(K51&lt;2,"1-2 yrs",IF(K51&lt;3,"2-3 yrs",IF(K51&lt;5,"3-5 yrs","5+ yrs")))))</f>
        <v>0-1 yrs</v>
      </c>
      <c r="M51" s="11" t="s">
        <v>97</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1" t="n">
        <f aca="false">IF(OR(O51="",E51=""),"",EDATE(E51,12*O51))</f>
        <v>46610</v>
      </c>
      <c r="Q51" s="21"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3"/>
      <c r="W51" s="23"/>
      <c r="X51" s="23"/>
      <c r="Y51" s="8"/>
      <c r="Z51" s="10" t="n">
        <f aca="false">IF(Q51="","",IF(Q51&lt;=$B$4,N(W51)+N(X51),0))</f>
        <v>0</v>
      </c>
      <c r="AA51" s="10" t="n">
        <f aca="false">IF(OR(LEFT(N51,6)="Larger",LEFT(N51,4)="Memo"),H51,0)</f>
        <v>1000</v>
      </c>
    </row>
    <row r="52" customFormat="false" ht="15" hidden="false" customHeight="false" outlineLevel="0" collapsed="false">
      <c r="A52" s="11" t="s">
        <v>36</v>
      </c>
      <c r="B52" s="12" t="str">
        <f aca="false">IFERROR(INDEX(Summary!$B$11:$B$18,MATCH($A52,Summary!$A$11:$A$18,0)),"")</f>
        <v>TX</v>
      </c>
      <c r="C52" s="11" t="s">
        <v>36</v>
      </c>
      <c r="D52" s="11" t="n">
        <v>72</v>
      </c>
      <c r="E52" s="21" t="n">
        <v>46255</v>
      </c>
      <c r="F52" s="11" t="s">
        <v>194</v>
      </c>
      <c r="G52" s="11" t="s">
        <v>195</v>
      </c>
      <c r="H52" s="10" t="n">
        <v>900</v>
      </c>
      <c r="I52" s="11" t="s">
        <v>196</v>
      </c>
      <c r="J52" s="11" t="s">
        <v>97</v>
      </c>
      <c r="K52" s="22" t="n">
        <f aca="false">IF(E52="","",($B$4-E52)/365.25)</f>
        <v>0.125941136208077</v>
      </c>
      <c r="L52" s="11" t="str">
        <f aca="false">IF(K52="","no date",IF(K52&lt;1,"0-1 yrs",IF(K52&lt;2,"1-2 yrs",IF(K52&lt;3,"2-3 yrs",IF(K52&lt;5,"3-5 yrs","5+ yrs")))))</f>
        <v>0-1 yrs</v>
      </c>
      <c r="M52" s="11" t="s">
        <v>97</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1" t="n">
        <f aca="false">IF(OR(O52="",E52=""),"",EDATE(E52,12*O52))</f>
        <v>46620</v>
      </c>
      <c r="Q52" s="21"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3"/>
      <c r="W52" s="23"/>
      <c r="X52" s="23"/>
      <c r="Y52" s="8"/>
      <c r="Z52" s="10" t="n">
        <f aca="false">IF(Q52="","",IF(Q52&lt;=$B$4,N(W52)+N(X52),0))</f>
        <v>0</v>
      </c>
      <c r="AA52" s="10" t="n">
        <f aca="false">IF(OR(LEFT(N52,6)="Larger",LEFT(N52,4)="Memo"),H52,0)</f>
        <v>900</v>
      </c>
    </row>
    <row r="53" customFormat="false" ht="15" hidden="false" customHeight="false" outlineLevel="0" collapsed="false">
      <c r="A53" s="11" t="s">
        <v>36</v>
      </c>
      <c r="B53" s="12" t="str">
        <f aca="false">IFERROR(INDEX(Summary!$B$11:$B$18,MATCH($A53,Summary!$A$11:$A$18,0)),"")</f>
        <v>TX</v>
      </c>
      <c r="C53" s="11" t="s">
        <v>36</v>
      </c>
      <c r="D53" s="11" t="n">
        <v>73</v>
      </c>
      <c r="E53" s="21" t="n">
        <v>46255</v>
      </c>
      <c r="F53" s="11" t="s">
        <v>197</v>
      </c>
      <c r="G53" s="11" t="s">
        <v>198</v>
      </c>
      <c r="H53" s="10" t="n">
        <v>875</v>
      </c>
      <c r="I53" s="11" t="s">
        <v>199</v>
      </c>
      <c r="J53" s="11" t="s">
        <v>97</v>
      </c>
      <c r="K53" s="22" t="n">
        <f aca="false">IF(E53="","",($B$4-E53)/365.25)</f>
        <v>0.125941136208077</v>
      </c>
      <c r="L53" s="11" t="str">
        <f aca="false">IF(K53="","no date",IF(K53&lt;1,"0-1 yrs",IF(K53&lt;2,"1-2 yrs",IF(K53&lt;3,"2-3 yrs",IF(K53&lt;5,"3-5 yrs","5+ yrs")))))</f>
        <v>0-1 yrs</v>
      </c>
      <c r="M53" s="11" t="s">
        <v>97</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1" t="n">
        <f aca="false">IF(OR(O53="",E53=""),"",EDATE(E53,12*O53))</f>
        <v>46620</v>
      </c>
      <c r="Q53" s="21"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3"/>
      <c r="W53" s="23"/>
      <c r="X53" s="23"/>
      <c r="Y53" s="8"/>
      <c r="Z53" s="10" t="n">
        <f aca="false">IF(Q53="","",IF(Q53&lt;=$B$4,N(W53)+N(X53),0))</f>
        <v>0</v>
      </c>
      <c r="AA53" s="10" t="n">
        <f aca="false">IF(OR(LEFT(N53,6)="Larger",LEFT(N53,4)="Memo"),H53,0)</f>
        <v>875</v>
      </c>
    </row>
    <row r="54" customFormat="false" ht="15" hidden="false" customHeight="false" outlineLevel="0" collapsed="false">
      <c r="A54" s="11" t="s">
        <v>36</v>
      </c>
      <c r="B54" s="12" t="str">
        <f aca="false">IFERROR(INDEX(Summary!$B$11:$B$18,MATCH($A54,Summary!$A$11:$A$18,0)),"")</f>
        <v>TX</v>
      </c>
      <c r="C54" s="11" t="s">
        <v>36</v>
      </c>
      <c r="D54" s="11" t="n">
        <v>78</v>
      </c>
      <c r="E54" s="21" t="n">
        <v>46262</v>
      </c>
      <c r="F54" s="11" t="s">
        <v>200</v>
      </c>
      <c r="G54" s="11" t="s">
        <v>201</v>
      </c>
      <c r="H54" s="10" t="n">
        <v>1400</v>
      </c>
      <c r="I54" s="11" t="s">
        <v>202</v>
      </c>
      <c r="J54" s="11" t="s">
        <v>97</v>
      </c>
      <c r="K54" s="22" t="n">
        <f aca="false">IF(E54="","",($B$4-E54)/365.25)</f>
        <v>0.106776180698152</v>
      </c>
      <c r="L54" s="11" t="str">
        <f aca="false">IF(K54="","no date",IF(K54&lt;1,"0-1 yrs",IF(K54&lt;2,"1-2 yrs",IF(K54&lt;3,"2-3 yrs",IF(K54&lt;5,"3-5 yrs","5+ yrs")))))</f>
        <v>0-1 yrs</v>
      </c>
      <c r="M54" s="11" t="s">
        <v>97</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1" t="n">
        <f aca="false">IF(OR(O54="",E54=""),"",EDATE(E54,12*O54))</f>
        <v>46627</v>
      </c>
      <c r="Q54" s="21"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3"/>
      <c r="W54" s="23"/>
      <c r="X54" s="23"/>
      <c r="Y54" s="8"/>
      <c r="Z54" s="10" t="n">
        <f aca="false">IF(Q54="","",IF(Q54&lt;=$B$4,N(W54)+N(X54),0))</f>
        <v>0</v>
      </c>
      <c r="AA54" s="10" t="n">
        <f aca="false">IF(OR(LEFT(N54,6)="Larger",LEFT(N54,4)="Memo"),H54,0)</f>
        <v>1400</v>
      </c>
    </row>
    <row r="55" customFormat="false" ht="15" hidden="false" customHeight="false" outlineLevel="0" collapsed="false">
      <c r="A55" s="11" t="s">
        <v>36</v>
      </c>
      <c r="B55" s="12" t="str">
        <f aca="false">IFERROR(INDEX(Summary!$B$11:$B$18,MATCH($A55,Summary!$A$11:$A$18,0)),"")</f>
        <v>TX</v>
      </c>
      <c r="C55" s="11" t="s">
        <v>36</v>
      </c>
      <c r="D55" s="11" t="n">
        <v>79</v>
      </c>
      <c r="E55" s="21" t="n">
        <v>46262</v>
      </c>
      <c r="F55" s="11" t="s">
        <v>203</v>
      </c>
      <c r="G55" s="11"/>
      <c r="H55" s="10" t="n">
        <v>2936.74</v>
      </c>
      <c r="I55" s="11" t="s">
        <v>204</v>
      </c>
      <c r="J55" s="11" t="s">
        <v>97</v>
      </c>
      <c r="K55" s="22" t="n">
        <f aca="false">IF(E55="","",($B$4-E55)/365.25)</f>
        <v>0.106776180698152</v>
      </c>
      <c r="L55" s="11" t="str">
        <f aca="false">IF(K55="","no date",IF(K55&lt;1,"0-1 yrs",IF(K55&lt;2,"1-2 yrs",IF(K55&lt;3,"2-3 yrs",IF(K55&lt;5,"3-5 yrs","5+ yrs")))))</f>
        <v>0-1 yrs</v>
      </c>
      <c r="M55" s="24" t="s">
        <v>108</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1" t="n">
        <f aca="false">IF(OR(O55="",E55=""),"",EDATE(E55,12*O55))</f>
        <v>46627</v>
      </c>
      <c r="Q55" s="21"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3"/>
      <c r="W55" s="23"/>
      <c r="X55" s="23"/>
      <c r="Y55" s="8"/>
      <c r="Z55" s="10" t="n">
        <f aca="false">IF(Q55="","",IF(Q55&lt;=$B$4,N(W55)+N(X55),0))</f>
        <v>0</v>
      </c>
      <c r="AA55" s="10" t="n">
        <f aca="false">IF(OR(LEFT(N55,6)="Larger",LEFT(N55,4)="Memo"),H55,0)</f>
        <v>2936.74</v>
      </c>
    </row>
    <row r="56" customFormat="false" ht="15" hidden="false" customHeight="false" outlineLevel="0" collapsed="false">
      <c r="A56" s="11" t="s">
        <v>36</v>
      </c>
      <c r="B56" s="12" t="str">
        <f aca="false">IFERROR(INDEX(Summary!$B$11:$B$18,MATCH($A56,Summary!$A$11:$A$18,0)),"")</f>
        <v>TX</v>
      </c>
      <c r="C56" s="11" t="s">
        <v>36</v>
      </c>
      <c r="D56" s="11" t="n">
        <v>80</v>
      </c>
      <c r="E56" s="21" t="n">
        <v>46265</v>
      </c>
      <c r="F56" s="11" t="s">
        <v>205</v>
      </c>
      <c r="G56" s="11" t="s">
        <v>206</v>
      </c>
      <c r="H56" s="10" t="n">
        <v>750</v>
      </c>
      <c r="I56" s="11" t="s">
        <v>207</v>
      </c>
      <c r="J56" s="11" t="s">
        <v>97</v>
      </c>
      <c r="K56" s="22" t="n">
        <f aca="false">IF(E56="","",($B$4-E56)/365.25)</f>
        <v>0.0985626283367557</v>
      </c>
      <c r="L56" s="11" t="str">
        <f aca="false">IF(K56="","no date",IF(K56&lt;1,"0-1 yrs",IF(K56&lt;2,"1-2 yrs",IF(K56&lt;3,"2-3 yrs",IF(K56&lt;5,"3-5 yrs","5+ yrs")))))</f>
        <v>0-1 yrs</v>
      </c>
      <c r="M56" s="11" t="s">
        <v>97</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1" t="n">
        <f aca="false">IF(OR(O56="",E56=""),"",EDATE(E56,12*O56))</f>
        <v>46630</v>
      </c>
      <c r="Q56" s="21"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3"/>
      <c r="W56" s="23"/>
      <c r="X56" s="23"/>
      <c r="Y56" s="8"/>
      <c r="Z56" s="10" t="n">
        <f aca="false">IF(Q56="","",IF(Q56&lt;=$B$4,N(W56)+N(X56),0))</f>
        <v>0</v>
      </c>
      <c r="AA56" s="10" t="n">
        <f aca="false">IF(OR(LEFT(N56,6)="Larger",LEFT(N56,4)="Memo"),H56,0)</f>
        <v>750</v>
      </c>
    </row>
    <row r="57" customFormat="false" ht="15" hidden="false" customHeight="false" outlineLevel="0" collapsed="false">
      <c r="A57" s="11" t="s">
        <v>39</v>
      </c>
      <c r="B57" s="12" t="str">
        <f aca="false">IFERROR(INDEX(Summary!$B$11:$B$18,MATCH($A57,Summary!$A$11:$A$18,0)),"")</f>
        <v>TX</v>
      </c>
      <c r="C57" s="11" t="s">
        <v>39</v>
      </c>
      <c r="D57" s="11" t="n">
        <v>21</v>
      </c>
      <c r="E57" s="21" t="n">
        <v>44592</v>
      </c>
      <c r="F57" s="11" t="s">
        <v>208</v>
      </c>
      <c r="G57" s="11"/>
      <c r="H57" s="10" t="n">
        <v>539.6</v>
      </c>
      <c r="I57" s="11"/>
      <c r="J57" s="11" t="s">
        <v>97</v>
      </c>
      <c r="K57" s="22" t="n">
        <f aca="false">IF(E57="","",($B$4-E57)/365.25)</f>
        <v>4.67898699520876</v>
      </c>
      <c r="L57" s="11" t="str">
        <f aca="false">IF(K57="","no date",IF(K57&lt;1,"0-1 yrs",IF(K57&lt;2,"1-2 yrs",IF(K57&lt;3,"2-3 yrs",IF(K57&lt;5,"3-5 yrs","5+ yrs")))))</f>
        <v>3-5 yrs</v>
      </c>
      <c r="M57" s="11" t="s">
        <v>97</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1" t="n">
        <f aca="false">IF(OR(O57="",E57=""),"",EDATE(E57,12*O57))</f>
        <v>44957</v>
      </c>
      <c r="Q57" s="21"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3"/>
      <c r="W57" s="23"/>
      <c r="X57" s="23"/>
      <c r="Y57" s="8"/>
      <c r="Z57" s="10" t="n">
        <f aca="false">IF(Q57="","",IF(Q57&lt;=$B$4,N(W57)+N(X57),0))</f>
        <v>0</v>
      </c>
      <c r="AA57" s="10" t="n">
        <f aca="false">IF(OR(LEFT(N57,6)="Larger",LEFT(N57,4)="Memo"),H57,0)</f>
        <v>539.6</v>
      </c>
    </row>
    <row r="58" customFormat="false" ht="15" hidden="false" customHeight="false" outlineLevel="0" collapsed="false">
      <c r="A58" s="11" t="s">
        <v>39</v>
      </c>
      <c r="B58" s="12" t="str">
        <f aca="false">IFERROR(INDEX(Summary!$B$11:$B$18,MATCH($A58,Summary!$A$11:$A$18,0)),"")</f>
        <v>TX</v>
      </c>
      <c r="C58" s="11" t="s">
        <v>39</v>
      </c>
      <c r="D58" s="11" t="n">
        <v>22</v>
      </c>
      <c r="E58" s="21" t="n">
        <v>44649</v>
      </c>
      <c r="F58" s="11" t="s">
        <v>209</v>
      </c>
      <c r="G58" s="11"/>
      <c r="H58" s="10" t="n">
        <v>300</v>
      </c>
      <c r="I58" s="11"/>
      <c r="J58" s="11" t="s">
        <v>97</v>
      </c>
      <c r="K58" s="22" t="n">
        <f aca="false">IF(E58="","",($B$4-E58)/365.25)</f>
        <v>4.52292950034223</v>
      </c>
      <c r="L58" s="11" t="str">
        <f aca="false">IF(K58="","no date",IF(K58&lt;1,"0-1 yrs",IF(K58&lt;2,"1-2 yrs",IF(K58&lt;3,"2-3 yrs",IF(K58&lt;5,"3-5 yrs","5+ yrs")))))</f>
        <v>3-5 yrs</v>
      </c>
      <c r="M58" s="11" t="s">
        <v>97</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1" t="n">
        <f aca="false">IF(OR(O58="",E58=""),"",EDATE(E58,12*O58))</f>
        <v>45014</v>
      </c>
      <c r="Q58" s="21"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3"/>
      <c r="W58" s="23"/>
      <c r="X58" s="23"/>
      <c r="Y58" s="8"/>
      <c r="Z58" s="10" t="n">
        <f aca="false">IF(Q58="","",IF(Q58&lt;=$B$4,N(W58)+N(X58),0))</f>
        <v>0</v>
      </c>
      <c r="AA58" s="10" t="n">
        <f aca="false">IF(OR(LEFT(N58,6)="Larger",LEFT(N58,4)="Memo"),H58,0)</f>
        <v>300</v>
      </c>
    </row>
    <row r="59" customFormat="false" ht="15" hidden="false" customHeight="false" outlineLevel="0" collapsed="false">
      <c r="A59" s="11" t="s">
        <v>39</v>
      </c>
      <c r="B59" s="12" t="str">
        <f aca="false">IFERROR(INDEX(Summary!$B$11:$B$18,MATCH($A59,Summary!$A$11:$A$18,0)),"")</f>
        <v>TX</v>
      </c>
      <c r="C59" s="11" t="s">
        <v>39</v>
      </c>
      <c r="D59" s="11" t="n">
        <v>23</v>
      </c>
      <c r="E59" s="21" t="n">
        <v>44762</v>
      </c>
      <c r="F59" s="11" t="s">
        <v>210</v>
      </c>
      <c r="G59" s="11" t="s">
        <v>211</v>
      </c>
      <c r="H59" s="10" t="n">
        <v>1260</v>
      </c>
      <c r="I59" s="11" t="s">
        <v>212</v>
      </c>
      <c r="J59" s="11" t="s">
        <v>97</v>
      </c>
      <c r="K59" s="22" t="n">
        <f aca="false">IF(E59="","",($B$4-E59)/365.25)</f>
        <v>4.2135523613963</v>
      </c>
      <c r="L59" s="11" t="str">
        <f aca="false">IF(K59="","no date",IF(K59&lt;1,"0-1 yrs",IF(K59&lt;2,"1-2 yrs",IF(K59&lt;3,"2-3 yrs",IF(K59&lt;5,"3-5 yrs","5+ yrs")))))</f>
        <v>3-5 yrs</v>
      </c>
      <c r="M59" s="11" t="s">
        <v>97</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1" t="n">
        <f aca="false">IF(OR(O59="",E59=""),"",EDATE(E59,12*O59))</f>
        <v>45127</v>
      </c>
      <c r="Q59" s="21"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3"/>
      <c r="W59" s="23"/>
      <c r="X59" s="23"/>
      <c r="Y59" s="8"/>
      <c r="Z59" s="10" t="n">
        <f aca="false">IF(Q59="","",IF(Q59&lt;=$B$4,N(W59)+N(X59),0))</f>
        <v>0</v>
      </c>
      <c r="AA59" s="10" t="n">
        <f aca="false">IF(OR(LEFT(N59,6)="Larger",LEFT(N59,4)="Memo"),H59,0)</f>
        <v>1260</v>
      </c>
    </row>
    <row r="60" customFormat="false" ht="15" hidden="false" customHeight="false" outlineLevel="0" collapsed="false">
      <c r="A60" s="11" t="s">
        <v>39</v>
      </c>
      <c r="B60" s="12" t="str">
        <f aca="false">IFERROR(INDEX(Summary!$B$11:$B$18,MATCH($A60,Summary!$A$11:$A$18,0)),"")</f>
        <v>TX</v>
      </c>
      <c r="C60" s="11" t="s">
        <v>39</v>
      </c>
      <c r="D60" s="11" t="n">
        <v>24</v>
      </c>
      <c r="E60" s="21" t="n">
        <v>44775</v>
      </c>
      <c r="F60" s="11" t="s">
        <v>213</v>
      </c>
      <c r="G60" s="11" t="s">
        <v>214</v>
      </c>
      <c r="H60" s="10" t="n">
        <v>1000</v>
      </c>
      <c r="I60" s="11" t="s">
        <v>215</v>
      </c>
      <c r="J60" s="11" t="s">
        <v>97</v>
      </c>
      <c r="K60" s="22" t="n">
        <f aca="false">IF(E60="","",($B$4-E60)/365.25)</f>
        <v>4.17796030116359</v>
      </c>
      <c r="L60" s="11" t="str">
        <f aca="false">IF(K60="","no date",IF(K60&lt;1,"0-1 yrs",IF(K60&lt;2,"1-2 yrs",IF(K60&lt;3,"2-3 yrs",IF(K60&lt;5,"3-5 yrs","5+ yrs")))))</f>
        <v>3-5 yrs</v>
      </c>
      <c r="M60" s="11" t="s">
        <v>97</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1" t="n">
        <f aca="false">IF(OR(O60="",E60=""),"",EDATE(E60,12*O60))</f>
        <v>45140</v>
      </c>
      <c r="Q60" s="21"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3"/>
      <c r="W60" s="23"/>
      <c r="X60" s="23"/>
      <c r="Y60" s="8"/>
      <c r="Z60" s="10" t="n">
        <f aca="false">IF(Q60="","",IF(Q60&lt;=$B$4,N(W60)+N(X60),0))</f>
        <v>0</v>
      </c>
      <c r="AA60" s="10" t="n">
        <f aca="false">IF(OR(LEFT(N60,6)="Larger",LEFT(N60,4)="Memo"),H60,0)</f>
        <v>1000</v>
      </c>
    </row>
    <row r="61" customFormat="false" ht="15" hidden="false" customHeight="false" outlineLevel="0" collapsed="false">
      <c r="A61" s="11" t="s">
        <v>39</v>
      </c>
      <c r="B61" s="12" t="str">
        <f aca="false">IFERROR(INDEX(Summary!$B$11:$B$18,MATCH($A61,Summary!$A$11:$A$18,0)),"")</f>
        <v>TX</v>
      </c>
      <c r="C61" s="11" t="s">
        <v>39</v>
      </c>
      <c r="D61" s="11" t="n">
        <v>25</v>
      </c>
      <c r="E61" s="21" t="n">
        <v>45008</v>
      </c>
      <c r="F61" s="11" t="s">
        <v>216</v>
      </c>
      <c r="G61" s="11" t="s">
        <v>217</v>
      </c>
      <c r="H61" s="10" t="n">
        <v>340</v>
      </c>
      <c r="I61" s="11" t="s">
        <v>218</v>
      </c>
      <c r="J61" s="11" t="s">
        <v>97</v>
      </c>
      <c r="K61" s="22" t="n">
        <f aca="false">IF(E61="","",($B$4-E61)/365.25)</f>
        <v>3.54004106776181</v>
      </c>
      <c r="L61" s="11" t="str">
        <f aca="false">IF(K61="","no date",IF(K61&lt;1,"0-1 yrs",IF(K61&lt;2,"1-2 yrs",IF(K61&lt;3,"2-3 yrs",IF(K61&lt;5,"3-5 yrs","5+ yrs")))))</f>
        <v>3-5 yrs</v>
      </c>
      <c r="M61" s="11" t="s">
        <v>97</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1" t="n">
        <f aca="false">IF(OR(O61="",E61=""),"",EDATE(E61,12*O61))</f>
        <v>45374</v>
      </c>
      <c r="Q61" s="21"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3"/>
      <c r="W61" s="23"/>
      <c r="X61" s="23"/>
      <c r="Y61" s="8"/>
      <c r="Z61" s="10" t="n">
        <f aca="false">IF(Q61="","",IF(Q61&lt;=$B$4,N(W61)+N(X61),0))</f>
        <v>0</v>
      </c>
      <c r="AA61" s="10" t="n">
        <f aca="false">IF(OR(LEFT(N61,6)="Larger",LEFT(N61,4)="Memo"),H61,0)</f>
        <v>340</v>
      </c>
    </row>
    <row r="62" customFormat="false" ht="15" hidden="false" customHeight="false" outlineLevel="0" collapsed="false">
      <c r="A62" s="11" t="s">
        <v>39</v>
      </c>
      <c r="B62" s="12" t="str">
        <f aca="false">IFERROR(INDEX(Summary!$B$11:$B$18,MATCH($A62,Summary!$A$11:$A$18,0)),"")</f>
        <v>TX</v>
      </c>
      <c r="C62" s="11" t="s">
        <v>39</v>
      </c>
      <c r="D62" s="11" t="n">
        <v>26</v>
      </c>
      <c r="E62" s="21" t="n">
        <v>45008</v>
      </c>
      <c r="F62" s="11" t="s">
        <v>219</v>
      </c>
      <c r="G62" s="11" t="s">
        <v>217</v>
      </c>
      <c r="H62" s="10" t="n">
        <v>340</v>
      </c>
      <c r="I62" s="11" t="s">
        <v>218</v>
      </c>
      <c r="J62" s="11" t="s">
        <v>97</v>
      </c>
      <c r="K62" s="22" t="n">
        <f aca="false">IF(E62="","",($B$4-E62)/365.25)</f>
        <v>3.54004106776181</v>
      </c>
      <c r="L62" s="11" t="str">
        <f aca="false">IF(K62="","no date",IF(K62&lt;1,"0-1 yrs",IF(K62&lt;2,"1-2 yrs",IF(K62&lt;3,"2-3 yrs",IF(K62&lt;5,"3-5 yrs","5+ yrs")))))</f>
        <v>3-5 yrs</v>
      </c>
      <c r="M62" s="11" t="s">
        <v>97</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1" t="n">
        <f aca="false">IF(OR(O62="",E62=""),"",EDATE(E62,12*O62))</f>
        <v>45374</v>
      </c>
      <c r="Q62" s="21"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3"/>
      <c r="W62" s="23"/>
      <c r="X62" s="23"/>
      <c r="Y62" s="8"/>
      <c r="Z62" s="10" t="n">
        <f aca="false">IF(Q62="","",IF(Q62&lt;=$B$4,N(W62)+N(X62),0))</f>
        <v>0</v>
      </c>
      <c r="AA62" s="10" t="n">
        <f aca="false">IF(OR(LEFT(N62,6)="Larger",LEFT(N62,4)="Memo"),H62,0)</f>
        <v>340</v>
      </c>
    </row>
    <row r="63" customFormat="false" ht="15" hidden="false" customHeight="false" outlineLevel="0" collapsed="false">
      <c r="A63" s="11" t="s">
        <v>39</v>
      </c>
      <c r="B63" s="12" t="str">
        <f aca="false">IFERROR(INDEX(Summary!$B$11:$B$18,MATCH($A63,Summary!$A$11:$A$18,0)),"")</f>
        <v>TX</v>
      </c>
      <c r="C63" s="11" t="s">
        <v>39</v>
      </c>
      <c r="D63" s="11" t="n">
        <v>27</v>
      </c>
      <c r="E63" s="21" t="n">
        <v>45125</v>
      </c>
      <c r="F63" s="11" t="s">
        <v>220</v>
      </c>
      <c r="G63" s="11" t="s">
        <v>221</v>
      </c>
      <c r="H63" s="10" t="n">
        <v>1500</v>
      </c>
      <c r="I63" s="11" t="s">
        <v>222</v>
      </c>
      <c r="J63" s="11" t="s">
        <v>97</v>
      </c>
      <c r="K63" s="22" t="n">
        <f aca="false">IF(E63="","",($B$4-E63)/365.25)</f>
        <v>3.21971252566735</v>
      </c>
      <c r="L63" s="11" t="str">
        <f aca="false">IF(K63="","no date",IF(K63&lt;1,"0-1 yrs",IF(K63&lt;2,"1-2 yrs",IF(K63&lt;3,"2-3 yrs",IF(K63&lt;5,"3-5 yrs","5+ yrs")))))</f>
        <v>3-5 yrs</v>
      </c>
      <c r="M63" s="24" t="s">
        <v>108</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1" t="n">
        <f aca="false">IF(OR(O63="",E63=""),"",EDATE(E63,12*O63))</f>
        <v>45491</v>
      </c>
      <c r="Q63" s="21"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3"/>
      <c r="W63" s="23"/>
      <c r="X63" s="23"/>
      <c r="Y63" s="8"/>
      <c r="Z63" s="10" t="n">
        <f aca="false">IF(Q63="","",IF(Q63&lt;=$B$4,N(W63)+N(X63),0))</f>
        <v>0</v>
      </c>
      <c r="AA63" s="10" t="n">
        <f aca="false">IF(OR(LEFT(N63,6)="Larger",LEFT(N63,4)="Memo"),H63,0)</f>
        <v>1500</v>
      </c>
    </row>
    <row r="64" customFormat="false" ht="15" hidden="false" customHeight="false" outlineLevel="0" collapsed="false">
      <c r="A64" s="11" t="s">
        <v>39</v>
      </c>
      <c r="B64" s="12" t="str">
        <f aca="false">IFERROR(INDEX(Summary!$B$11:$B$18,MATCH($A64,Summary!$A$11:$A$18,0)),"")</f>
        <v>TX</v>
      </c>
      <c r="C64" s="11" t="s">
        <v>39</v>
      </c>
      <c r="D64" s="11" t="n">
        <v>28</v>
      </c>
      <c r="E64" s="21" t="n">
        <v>45125</v>
      </c>
      <c r="F64" s="11" t="s">
        <v>223</v>
      </c>
      <c r="G64" s="11" t="s">
        <v>224</v>
      </c>
      <c r="H64" s="10" t="n">
        <v>357</v>
      </c>
      <c r="I64" s="11"/>
      <c r="J64" s="11" t="s">
        <v>97</v>
      </c>
      <c r="K64" s="22" t="n">
        <f aca="false">IF(E64="","",($B$4-E64)/365.25)</f>
        <v>3.21971252566735</v>
      </c>
      <c r="L64" s="11" t="str">
        <f aca="false">IF(K64="","no date",IF(K64&lt;1,"0-1 yrs",IF(K64&lt;2,"1-2 yrs",IF(K64&lt;3,"2-3 yrs",IF(K64&lt;5,"3-5 yrs","5+ yrs")))))</f>
        <v>3-5 yrs</v>
      </c>
      <c r="M64" s="11" t="s">
        <v>97</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1" t="n">
        <f aca="false">IF(OR(O64="",E64=""),"",EDATE(E64,12*O64))</f>
        <v>45491</v>
      </c>
      <c r="Q64" s="21"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3"/>
      <c r="W64" s="23"/>
      <c r="X64" s="23"/>
      <c r="Y64" s="8"/>
      <c r="Z64" s="10" t="n">
        <f aca="false">IF(Q64="","",IF(Q64&lt;=$B$4,N(W64)+N(X64),0))</f>
        <v>0</v>
      </c>
      <c r="AA64" s="10" t="n">
        <f aca="false">IF(OR(LEFT(N64,6)="Larger",LEFT(N64,4)="Memo"),H64,0)</f>
        <v>357</v>
      </c>
    </row>
    <row r="65" customFormat="false" ht="15" hidden="false" customHeight="false" outlineLevel="0" collapsed="false">
      <c r="A65" s="11" t="s">
        <v>39</v>
      </c>
      <c r="B65" s="12" t="str">
        <f aca="false">IFERROR(INDEX(Summary!$B$11:$B$18,MATCH($A65,Summary!$A$11:$A$18,0)),"")</f>
        <v>TX</v>
      </c>
      <c r="C65" s="11" t="s">
        <v>39</v>
      </c>
      <c r="D65" s="11" t="n">
        <v>29</v>
      </c>
      <c r="E65" s="21" t="n">
        <v>45232</v>
      </c>
      <c r="F65" s="11" t="s">
        <v>225</v>
      </c>
      <c r="G65" s="11"/>
      <c r="H65" s="10" t="n">
        <v>375</v>
      </c>
      <c r="I65" s="11" t="s">
        <v>226</v>
      </c>
      <c r="J65" s="11" t="s">
        <v>97</v>
      </c>
      <c r="K65" s="22" t="n">
        <f aca="false">IF(E65="","",($B$4-E65)/365.25)</f>
        <v>2.92676249144422</v>
      </c>
      <c r="L65" s="11" t="str">
        <f aca="false">IF(K65="","no date",IF(K65&lt;1,"0-1 yrs",IF(K65&lt;2,"1-2 yrs",IF(K65&lt;3,"2-3 yrs",IF(K65&lt;5,"3-5 yrs","5+ yrs")))))</f>
        <v>2-3 yrs</v>
      </c>
      <c r="M65" s="24" t="s">
        <v>108</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1" t="n">
        <f aca="false">IF(OR(O65="",E65=""),"",EDATE(E65,12*O65))</f>
        <v>45598</v>
      </c>
      <c r="Q65" s="21"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3"/>
      <c r="W65" s="23"/>
      <c r="X65" s="23"/>
      <c r="Y65" s="8"/>
      <c r="Z65" s="10" t="n">
        <f aca="false">IF(Q65="","",IF(Q65&lt;=$B$4,N(W65)+N(X65),0))</f>
        <v>0</v>
      </c>
      <c r="AA65" s="10" t="n">
        <f aca="false">IF(OR(LEFT(N65,6)="Larger",LEFT(N65,4)="Memo"),H65,0)</f>
        <v>375</v>
      </c>
    </row>
    <row r="66" customFormat="false" ht="15" hidden="false" customHeight="false" outlineLevel="0" collapsed="false">
      <c r="A66" s="11" t="s">
        <v>39</v>
      </c>
      <c r="B66" s="12" t="str">
        <f aca="false">IFERROR(INDEX(Summary!$B$11:$B$18,MATCH($A66,Summary!$A$11:$A$18,0)),"")</f>
        <v>TX</v>
      </c>
      <c r="C66" s="11" t="s">
        <v>39</v>
      </c>
      <c r="D66" s="11" t="n">
        <v>30</v>
      </c>
      <c r="E66" s="21" t="n">
        <v>45412</v>
      </c>
      <c r="F66" s="11" t="s">
        <v>227</v>
      </c>
      <c r="G66" s="11" t="s">
        <v>228</v>
      </c>
      <c r="H66" s="10" t="n">
        <v>517.5</v>
      </c>
      <c r="I66" s="11" t="s">
        <v>229</v>
      </c>
      <c r="J66" s="11" t="s">
        <v>97</v>
      </c>
      <c r="K66" s="22" t="n">
        <f aca="false">IF(E66="","",($B$4-E66)/365.25)</f>
        <v>2.43394934976044</v>
      </c>
      <c r="L66" s="11" t="str">
        <f aca="false">IF(K66="","no date",IF(K66&lt;1,"0-1 yrs",IF(K66&lt;2,"1-2 yrs",IF(K66&lt;3,"2-3 yrs",IF(K66&lt;5,"3-5 yrs","5+ yrs")))))</f>
        <v>2-3 yrs</v>
      </c>
      <c r="M66" s="11" t="s">
        <v>97</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1" t="n">
        <f aca="false">IF(OR(O66="",E66=""),"",EDATE(E66,12*O66))</f>
        <v>45777</v>
      </c>
      <c r="Q66" s="21"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3"/>
      <c r="W66" s="23"/>
      <c r="X66" s="23"/>
      <c r="Y66" s="8"/>
      <c r="Z66" s="10" t="n">
        <f aca="false">IF(Q66="","",IF(Q66&lt;=$B$4,N(W66)+N(X66),0))</f>
        <v>0</v>
      </c>
      <c r="AA66" s="10" t="n">
        <f aca="false">IF(OR(LEFT(N66,6)="Larger",LEFT(N66,4)="Memo"),H66,0)</f>
        <v>517.5</v>
      </c>
    </row>
    <row r="67" customFormat="false" ht="15" hidden="false" customHeight="false" outlineLevel="0" collapsed="false">
      <c r="A67" s="11" t="s">
        <v>39</v>
      </c>
      <c r="B67" s="12" t="str">
        <f aca="false">IFERROR(INDEX(Summary!$B$11:$B$18,MATCH($A67,Summary!$A$11:$A$18,0)),"")</f>
        <v>TX</v>
      </c>
      <c r="C67" s="11" t="s">
        <v>39</v>
      </c>
      <c r="D67" s="11" t="n">
        <v>31</v>
      </c>
      <c r="E67" s="21" t="n">
        <v>45432</v>
      </c>
      <c r="F67" s="11" t="s">
        <v>230</v>
      </c>
      <c r="G67" s="11" t="s">
        <v>231</v>
      </c>
      <c r="H67" s="10" t="n">
        <v>49</v>
      </c>
      <c r="I67" s="11"/>
      <c r="J67" s="11" t="s">
        <v>97</v>
      </c>
      <c r="K67" s="22" t="n">
        <f aca="false">IF(E67="","",($B$4-E67)/365.25)</f>
        <v>2.3791923340178</v>
      </c>
      <c r="L67" s="11" t="str">
        <f aca="false">IF(K67="","no date",IF(K67&lt;1,"0-1 yrs",IF(K67&lt;2,"1-2 yrs",IF(K67&lt;3,"2-3 yrs",IF(K67&lt;5,"3-5 yrs","5+ yrs")))))</f>
        <v>2-3 yrs</v>
      </c>
      <c r="M67" s="11" t="s">
        <v>97</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1" t="n">
        <f aca="false">IF(OR(O67="",E67=""),"",EDATE(E67,12*O67))</f>
        <v>45797</v>
      </c>
      <c r="Q67" s="21"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3"/>
      <c r="W67" s="23"/>
      <c r="X67" s="23"/>
      <c r="Y67" s="8"/>
      <c r="Z67" s="10" t="n">
        <f aca="false">IF(Q67="","",IF(Q67&lt;=$B$4,N(W67)+N(X67),0))</f>
        <v>0</v>
      </c>
      <c r="AA67" s="10" t="n">
        <f aca="false">IF(OR(LEFT(N67,6)="Larger",LEFT(N67,4)="Memo"),H67,0)</f>
        <v>0</v>
      </c>
    </row>
    <row r="68" customFormat="false" ht="15" hidden="false" customHeight="false" outlineLevel="0" collapsed="false">
      <c r="A68" s="11" t="s">
        <v>39</v>
      </c>
      <c r="B68" s="12" t="str">
        <f aca="false">IFERROR(INDEX(Summary!$B$11:$B$18,MATCH($A68,Summary!$A$11:$A$18,0)),"")</f>
        <v>TX</v>
      </c>
      <c r="C68" s="11" t="s">
        <v>39</v>
      </c>
      <c r="D68" s="11" t="n">
        <v>32</v>
      </c>
      <c r="E68" s="21" t="n">
        <v>45456</v>
      </c>
      <c r="F68" s="11" t="s">
        <v>232</v>
      </c>
      <c r="G68" s="11" t="s">
        <v>231</v>
      </c>
      <c r="H68" s="10" t="n">
        <v>100</v>
      </c>
      <c r="I68" s="11"/>
      <c r="J68" s="11" t="s">
        <v>97</v>
      </c>
      <c r="K68" s="22" t="n">
        <f aca="false">IF(E68="","",($B$4-E68)/365.25)</f>
        <v>2.31348391512663</v>
      </c>
      <c r="L68" s="11" t="str">
        <f aca="false">IF(K68="","no date",IF(K68&lt;1,"0-1 yrs",IF(K68&lt;2,"1-2 yrs",IF(K68&lt;3,"2-3 yrs",IF(K68&lt;5,"3-5 yrs","5+ yrs")))))</f>
        <v>2-3 yrs</v>
      </c>
      <c r="M68" s="11" t="s">
        <v>97</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1" t="n">
        <f aca="false">IF(OR(O68="",E68=""),"",EDATE(E68,12*O68))</f>
        <v>45821</v>
      </c>
      <c r="Q68" s="21"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3"/>
      <c r="W68" s="23"/>
      <c r="X68" s="23"/>
      <c r="Y68" s="8"/>
      <c r="Z68" s="10" t="n">
        <f aca="false">IF(Q68="","",IF(Q68&lt;=$B$4,N(W68)+N(X68),0))</f>
        <v>0</v>
      </c>
      <c r="AA68" s="10" t="n">
        <f aca="false">IF(OR(LEFT(N68,6)="Larger",LEFT(N68,4)="Memo"),H68,0)</f>
        <v>0</v>
      </c>
    </row>
    <row r="69" customFormat="false" ht="15" hidden="false" customHeight="false" outlineLevel="0" collapsed="false">
      <c r="A69" s="11" t="s">
        <v>39</v>
      </c>
      <c r="B69" s="12" t="str">
        <f aca="false">IFERROR(INDEX(Summary!$B$11:$B$18,MATCH($A69,Summary!$A$11:$A$18,0)),"")</f>
        <v>TX</v>
      </c>
      <c r="C69" s="11" t="s">
        <v>39</v>
      </c>
      <c r="D69" s="11" t="n">
        <v>33</v>
      </c>
      <c r="E69" s="21" t="n">
        <v>45456</v>
      </c>
      <c r="F69" s="11" t="s">
        <v>233</v>
      </c>
      <c r="G69" s="11" t="s">
        <v>231</v>
      </c>
      <c r="H69" s="10" t="n">
        <v>644</v>
      </c>
      <c r="I69" s="11"/>
      <c r="J69" s="11" t="s">
        <v>97</v>
      </c>
      <c r="K69" s="22" t="n">
        <f aca="false">IF(E69="","",($B$4-E69)/365.25)</f>
        <v>2.31348391512663</v>
      </c>
      <c r="L69" s="11" t="str">
        <f aca="false">IF(K69="","no date",IF(K69&lt;1,"0-1 yrs",IF(K69&lt;2,"1-2 yrs",IF(K69&lt;3,"2-3 yrs",IF(K69&lt;5,"3-5 yrs","5+ yrs")))))</f>
        <v>2-3 yrs</v>
      </c>
      <c r="M69" s="11" t="s">
        <v>97</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1" t="n">
        <f aca="false">IF(OR(O69="",E69=""),"",EDATE(E69,12*O69))</f>
        <v>45821</v>
      </c>
      <c r="Q69" s="21"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3"/>
      <c r="W69" s="23"/>
      <c r="X69" s="23"/>
      <c r="Y69" s="8"/>
      <c r="Z69" s="10" t="n">
        <f aca="false">IF(Q69="","",IF(Q69&lt;=$B$4,N(W69)+N(X69),0))</f>
        <v>0</v>
      </c>
      <c r="AA69" s="10" t="n">
        <f aca="false">IF(OR(LEFT(N69,6)="Larger",LEFT(N69,4)="Memo"),H69,0)</f>
        <v>0</v>
      </c>
    </row>
    <row r="70" customFormat="false" ht="15" hidden="false" customHeight="false" outlineLevel="0" collapsed="false">
      <c r="A70" s="11" t="s">
        <v>39</v>
      </c>
      <c r="B70" s="12" t="str">
        <f aca="false">IFERROR(INDEX(Summary!$B$11:$B$18,MATCH($A70,Summary!$A$11:$A$18,0)),"")</f>
        <v>TX</v>
      </c>
      <c r="C70" s="11" t="s">
        <v>39</v>
      </c>
      <c r="D70" s="11" t="n">
        <v>34</v>
      </c>
      <c r="E70" s="21" t="n">
        <v>45474</v>
      </c>
      <c r="F70" s="11" t="s">
        <v>234</v>
      </c>
      <c r="G70" s="11" t="s">
        <v>235</v>
      </c>
      <c r="H70" s="10" t="n">
        <v>7500</v>
      </c>
      <c r="I70" s="11"/>
      <c r="J70" s="11" t="s">
        <v>97</v>
      </c>
      <c r="K70" s="22" t="n">
        <f aca="false">IF(E70="","",($B$4-E70)/365.25)</f>
        <v>2.26420260095825</v>
      </c>
      <c r="L70" s="11" t="str">
        <f aca="false">IF(K70="","no date",IF(K70&lt;1,"0-1 yrs",IF(K70&lt;2,"1-2 yrs",IF(K70&lt;3,"2-3 yrs",IF(K70&lt;5,"3-5 yrs","5+ yrs")))))</f>
        <v>2-3 yrs</v>
      </c>
      <c r="M70" s="11" t="s">
        <v>97</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1" t="n">
        <f aca="false">IF(OR(O70="",E70=""),"",EDATE(E70,12*O70))</f>
        <v>45839</v>
      </c>
      <c r="Q70" s="21"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3"/>
      <c r="W70" s="23"/>
      <c r="X70" s="23"/>
      <c r="Y70" s="8"/>
      <c r="Z70" s="10" t="n">
        <f aca="false">IF(Q70="","",IF(Q70&lt;=$B$4,N(W70)+N(X70),0))</f>
        <v>0</v>
      </c>
      <c r="AA70" s="10" t="n">
        <f aca="false">IF(OR(LEFT(N70,6)="Larger",LEFT(N70,4)="Memo"),H70,0)</f>
        <v>7500</v>
      </c>
    </row>
    <row r="71" customFormat="false" ht="15" hidden="false" customHeight="false" outlineLevel="0" collapsed="false">
      <c r="A71" s="11" t="s">
        <v>39</v>
      </c>
      <c r="B71" s="12" t="str">
        <f aca="false">IFERROR(INDEX(Summary!$B$11:$B$18,MATCH($A71,Summary!$A$11:$A$18,0)),"")</f>
        <v>TX</v>
      </c>
      <c r="C71" s="11" t="s">
        <v>39</v>
      </c>
      <c r="D71" s="11" t="n">
        <v>35</v>
      </c>
      <c r="E71" s="21" t="n">
        <v>45574</v>
      </c>
      <c r="F71" s="11" t="s">
        <v>236</v>
      </c>
      <c r="G71" s="11" t="s">
        <v>237</v>
      </c>
      <c r="H71" s="10" t="n">
        <v>495</v>
      </c>
      <c r="I71" s="11" t="s">
        <v>162</v>
      </c>
      <c r="J71" s="11" t="s">
        <v>97</v>
      </c>
      <c r="K71" s="22" t="n">
        <f aca="false">IF(E71="","",($B$4-E71)/365.25)</f>
        <v>1.99041752224504</v>
      </c>
      <c r="L71" s="11" t="str">
        <f aca="false">IF(K71="","no date",IF(K71&lt;1,"0-1 yrs",IF(K71&lt;2,"1-2 yrs",IF(K71&lt;3,"2-3 yrs",IF(K71&lt;5,"3-5 yrs","5+ yrs")))))</f>
        <v>1-2 yrs</v>
      </c>
      <c r="M71" s="11" t="s">
        <v>97</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1" t="n">
        <f aca="false">IF(OR(O71="",E71=""),"",EDATE(E71,12*O71))</f>
        <v>45939</v>
      </c>
      <c r="Q71" s="21"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3"/>
      <c r="W71" s="23"/>
      <c r="X71" s="23"/>
      <c r="Y71" s="8"/>
      <c r="Z71" s="10" t="n">
        <f aca="false">IF(Q71="","",IF(Q71&lt;=$B$4,N(W71)+N(X71),0))</f>
        <v>0</v>
      </c>
      <c r="AA71" s="10" t="n">
        <f aca="false">IF(OR(LEFT(N71,6)="Larger",LEFT(N71,4)="Memo"),H71,0)</f>
        <v>0</v>
      </c>
    </row>
    <row r="72" customFormat="false" ht="15" hidden="false" customHeight="false" outlineLevel="0" collapsed="false">
      <c r="A72" s="11" t="s">
        <v>39</v>
      </c>
      <c r="B72" s="12" t="str">
        <f aca="false">IFERROR(INDEX(Summary!$B$11:$B$18,MATCH($A72,Summary!$A$11:$A$18,0)),"")</f>
        <v>TX</v>
      </c>
      <c r="C72" s="11" t="s">
        <v>39</v>
      </c>
      <c r="D72" s="11" t="n">
        <v>36</v>
      </c>
      <c r="E72" s="21" t="n">
        <v>45649</v>
      </c>
      <c r="F72" s="11" t="s">
        <v>238</v>
      </c>
      <c r="G72" s="11"/>
      <c r="H72" s="10" t="n">
        <v>999.99</v>
      </c>
      <c r="I72" s="11" t="s">
        <v>239</v>
      </c>
      <c r="J72" s="11" t="s">
        <v>97</v>
      </c>
      <c r="K72" s="22" t="n">
        <f aca="false">IF(E72="","",($B$4-E72)/365.25)</f>
        <v>1.78507871321013</v>
      </c>
      <c r="L72" s="11" t="str">
        <f aca="false">IF(K72="","no date",IF(K72&lt;1,"0-1 yrs",IF(K72&lt;2,"1-2 yrs",IF(K72&lt;3,"2-3 yrs",IF(K72&lt;5,"3-5 yrs","5+ yrs")))))</f>
        <v>1-2 yrs</v>
      </c>
      <c r="M72" s="11" t="s">
        <v>97</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1" t="n">
        <f aca="false">IF(OR(O72="",E72=""),"",EDATE(E72,12*O72))</f>
        <v>46014</v>
      </c>
      <c r="Q72" s="21"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3"/>
      <c r="W72" s="23"/>
      <c r="X72" s="23"/>
      <c r="Y72" s="8"/>
      <c r="Z72" s="10" t="n">
        <f aca="false">IF(Q72="","",IF(Q72&lt;=$B$4,N(W72)+N(X72),0))</f>
        <v>0</v>
      </c>
      <c r="AA72" s="10" t="n">
        <f aca="false">IF(OR(LEFT(N72,6)="Larger",LEFT(N72,4)="Memo"),H72,0)</f>
        <v>999.99</v>
      </c>
    </row>
    <row r="73" customFormat="false" ht="15" hidden="false" customHeight="false" outlineLevel="0" collapsed="false">
      <c r="A73" s="11" t="s">
        <v>39</v>
      </c>
      <c r="B73" s="12" t="str">
        <f aca="false">IFERROR(INDEX(Summary!$B$11:$B$18,MATCH($A73,Summary!$A$11:$A$18,0)),"")</f>
        <v>TX</v>
      </c>
      <c r="C73" s="11" t="s">
        <v>39</v>
      </c>
      <c r="D73" s="11" t="n">
        <v>37</v>
      </c>
      <c r="E73" s="21" t="n">
        <v>45688</v>
      </c>
      <c r="F73" s="11" t="s">
        <v>240</v>
      </c>
      <c r="G73" s="11" t="s">
        <v>241</v>
      </c>
      <c r="H73" s="10" t="n">
        <v>305.91</v>
      </c>
      <c r="I73" s="11"/>
      <c r="J73" s="11" t="s">
        <v>97</v>
      </c>
      <c r="K73" s="22" t="n">
        <f aca="false">IF(E73="","",($B$4-E73)/365.25)</f>
        <v>1.67830253251198</v>
      </c>
      <c r="L73" s="11" t="str">
        <f aca="false">IF(K73="","no date",IF(K73&lt;1,"0-1 yrs",IF(K73&lt;2,"1-2 yrs",IF(K73&lt;3,"2-3 yrs",IF(K73&lt;5,"3-5 yrs","5+ yrs")))))</f>
        <v>1-2 yrs</v>
      </c>
      <c r="M73" s="11" t="s">
        <v>97</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1" t="n">
        <f aca="false">IF(OR(O73="",E73=""),"",EDATE(E73,12*O73))</f>
        <v>46053</v>
      </c>
      <c r="Q73" s="21"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3"/>
      <c r="W73" s="23"/>
      <c r="X73" s="23"/>
      <c r="Y73" s="8"/>
      <c r="Z73" s="10" t="n">
        <f aca="false">IF(Q73="","",IF(Q73&lt;=$B$4,N(W73)+N(X73),0))</f>
        <v>0</v>
      </c>
      <c r="AA73" s="10" t="n">
        <f aca="false">IF(OR(LEFT(N73,6)="Larger",LEFT(N73,4)="Memo"),H73,0)</f>
        <v>305.91</v>
      </c>
    </row>
    <row r="74" customFormat="false" ht="15" hidden="false" customHeight="false" outlineLevel="0" collapsed="false">
      <c r="A74" s="11" t="s">
        <v>39</v>
      </c>
      <c r="B74" s="12" t="str">
        <f aca="false">IFERROR(INDEX(Summary!$B$11:$B$18,MATCH($A74,Summary!$A$11:$A$18,0)),"")</f>
        <v>TX</v>
      </c>
      <c r="C74" s="11" t="s">
        <v>39</v>
      </c>
      <c r="D74" s="11" t="n">
        <v>38</v>
      </c>
      <c r="E74" s="21" t="n">
        <v>45825</v>
      </c>
      <c r="F74" s="11" t="s">
        <v>242</v>
      </c>
      <c r="G74" s="11"/>
      <c r="H74" s="10" t="n">
        <v>1044</v>
      </c>
      <c r="I74" s="11" t="s">
        <v>243</v>
      </c>
      <c r="J74" s="11" t="s">
        <v>97</v>
      </c>
      <c r="K74" s="22" t="n">
        <f aca="false">IF(E74="","",($B$4-E74)/365.25)</f>
        <v>1.30321697467488</v>
      </c>
      <c r="L74" s="11" t="str">
        <f aca="false">IF(K74="","no date",IF(K74&lt;1,"0-1 yrs",IF(K74&lt;2,"1-2 yrs",IF(K74&lt;3,"2-3 yrs",IF(K74&lt;5,"3-5 yrs","5+ yrs")))))</f>
        <v>1-2 yrs</v>
      </c>
      <c r="M74" s="11" t="s">
        <v>97</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1" t="n">
        <f aca="false">IF(OR(O74="",E74=""),"",EDATE(E74,12*O74))</f>
        <v>46190</v>
      </c>
      <c r="Q74" s="21"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3"/>
      <c r="W74" s="23"/>
      <c r="X74" s="23"/>
      <c r="Y74" s="8"/>
      <c r="Z74" s="10" t="n">
        <f aca="false">IF(Q74="","",IF(Q74&lt;=$B$4,N(W74)+N(X74),0))</f>
        <v>0</v>
      </c>
      <c r="AA74" s="10" t="n">
        <f aca="false">IF(OR(LEFT(N74,6)="Larger",LEFT(N74,4)="Memo"),H74,0)</f>
        <v>0</v>
      </c>
    </row>
    <row r="75" customFormat="false" ht="15" hidden="false" customHeight="false" outlineLevel="0" collapsed="false">
      <c r="A75" s="11" t="s">
        <v>39</v>
      </c>
      <c r="B75" s="12" t="str">
        <f aca="false">IFERROR(INDEX(Summary!$B$11:$B$18,MATCH($A75,Summary!$A$11:$A$18,0)),"")</f>
        <v>TX</v>
      </c>
      <c r="C75" s="11" t="s">
        <v>39</v>
      </c>
      <c r="D75" s="11" t="n">
        <v>39</v>
      </c>
      <c r="E75" s="21" t="n">
        <v>45840</v>
      </c>
      <c r="F75" s="11" t="s">
        <v>244</v>
      </c>
      <c r="G75" s="11" t="s">
        <v>245</v>
      </c>
      <c r="H75" s="10" t="n">
        <v>250</v>
      </c>
      <c r="I75" s="11"/>
      <c r="J75" s="11" t="s">
        <v>97</v>
      </c>
      <c r="K75" s="22" t="n">
        <f aca="false">IF(E75="","",($B$4-E75)/365.25)</f>
        <v>1.2621492128679</v>
      </c>
      <c r="L75" s="11" t="str">
        <f aca="false">IF(K75="","no date",IF(K75&lt;1,"0-1 yrs",IF(K75&lt;2,"1-2 yrs",IF(K75&lt;3,"2-3 yrs",IF(K75&lt;5,"3-5 yrs","5+ yrs")))))</f>
        <v>1-2 yrs</v>
      </c>
      <c r="M75" s="11" t="s">
        <v>97</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1" t="n">
        <f aca="false">IF(OR(O75="",E75=""),"",EDATE(E75,12*O75))</f>
        <v>46205</v>
      </c>
      <c r="Q75" s="21"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3"/>
      <c r="W75" s="23"/>
      <c r="X75" s="23"/>
      <c r="Y75" s="8"/>
      <c r="Z75" s="10" t="n">
        <f aca="false">IF(Q75="","",IF(Q75&lt;=$B$4,N(W75)+N(X75),0))</f>
        <v>0</v>
      </c>
      <c r="AA75" s="10" t="n">
        <f aca="false">IF(OR(LEFT(N75,6)="Larger",LEFT(N75,4)="Memo"),H75,0)</f>
        <v>0</v>
      </c>
    </row>
    <row r="76" customFormat="false" ht="15" hidden="false" customHeight="false" outlineLevel="0" collapsed="false">
      <c r="A76" s="11" t="s">
        <v>39</v>
      </c>
      <c r="B76" s="12" t="str">
        <f aca="false">IFERROR(INDEX(Summary!$B$11:$B$18,MATCH($A76,Summary!$A$11:$A$18,0)),"")</f>
        <v>TX</v>
      </c>
      <c r="C76" s="11" t="s">
        <v>39</v>
      </c>
      <c r="D76" s="11" t="n">
        <v>40</v>
      </c>
      <c r="E76" s="21" t="n">
        <v>45853</v>
      </c>
      <c r="F76" s="11" t="s">
        <v>246</v>
      </c>
      <c r="G76" s="11" t="s">
        <v>247</v>
      </c>
      <c r="H76" s="10" t="n">
        <v>475</v>
      </c>
      <c r="I76" s="11" t="s">
        <v>248</v>
      </c>
      <c r="J76" s="11" t="s">
        <v>97</v>
      </c>
      <c r="K76" s="22" t="n">
        <f aca="false">IF(E76="","",($B$4-E76)/365.25)</f>
        <v>1.22655715263518</v>
      </c>
      <c r="L76" s="11" t="str">
        <f aca="false">IF(K76="","no date",IF(K76&lt;1,"0-1 yrs",IF(K76&lt;2,"1-2 yrs",IF(K76&lt;3,"2-3 yrs",IF(K76&lt;5,"3-5 yrs","5+ yrs")))))</f>
        <v>1-2 yrs</v>
      </c>
      <c r="M76" s="11" t="s">
        <v>97</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1" t="n">
        <f aca="false">IF(OR(O76="",E76=""),"",EDATE(E76,12*O76))</f>
        <v>46218</v>
      </c>
      <c r="Q76" s="21"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3"/>
      <c r="W76" s="23"/>
      <c r="X76" s="23"/>
      <c r="Y76" s="8"/>
      <c r="Z76" s="10" t="n">
        <f aca="false">IF(Q76="","",IF(Q76&lt;=$B$4,N(W76)+N(X76),0))</f>
        <v>0</v>
      </c>
      <c r="AA76" s="10" t="n">
        <f aca="false">IF(OR(LEFT(N76,6)="Larger",LEFT(N76,4)="Memo"),H76,0)</f>
        <v>475</v>
      </c>
    </row>
    <row r="77" customFormat="false" ht="15" hidden="false" customHeight="false" outlineLevel="0" collapsed="false">
      <c r="A77" s="11" t="s">
        <v>39</v>
      </c>
      <c r="B77" s="12" t="str">
        <f aca="false">IFERROR(INDEX(Summary!$B$11:$B$18,MATCH($A77,Summary!$A$11:$A$18,0)),"")</f>
        <v>TX</v>
      </c>
      <c r="C77" s="11" t="s">
        <v>39</v>
      </c>
      <c r="D77" s="11" t="n">
        <v>41</v>
      </c>
      <c r="E77" s="21" t="n">
        <v>45854</v>
      </c>
      <c r="F77" s="11" t="s">
        <v>249</v>
      </c>
      <c r="G77" s="11"/>
      <c r="H77" s="10" t="n">
        <v>263</v>
      </c>
      <c r="I77" s="11"/>
      <c r="J77" s="11" t="s">
        <v>97</v>
      </c>
      <c r="K77" s="22" t="n">
        <f aca="false">IF(E77="","",($B$4-E77)/365.25)</f>
        <v>1.22381930184805</v>
      </c>
      <c r="L77" s="11" t="str">
        <f aca="false">IF(K77="","no date",IF(K77&lt;1,"0-1 yrs",IF(K77&lt;2,"1-2 yrs",IF(K77&lt;3,"2-3 yrs",IF(K77&lt;5,"3-5 yrs","5+ yrs")))))</f>
        <v>1-2 yrs</v>
      </c>
      <c r="M77" s="11" t="s">
        <v>97</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1" t="n">
        <f aca="false">IF(OR(O77="",E77=""),"",EDATE(E77,12*O77))</f>
        <v>46219</v>
      </c>
      <c r="Q77" s="21"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3"/>
      <c r="W77" s="23"/>
      <c r="X77" s="23"/>
      <c r="Y77" s="8"/>
      <c r="Z77" s="10" t="n">
        <f aca="false">IF(Q77="","",IF(Q77&lt;=$B$4,N(W77)+N(X77),0))</f>
        <v>0</v>
      </c>
      <c r="AA77" s="10" t="n">
        <f aca="false">IF(OR(LEFT(N77,6)="Larger",LEFT(N77,4)="Memo"),H77,0)</f>
        <v>263</v>
      </c>
    </row>
    <row r="78" customFormat="false" ht="15" hidden="false" customHeight="false" outlineLevel="0" collapsed="false">
      <c r="A78" s="11" t="s">
        <v>39</v>
      </c>
      <c r="B78" s="12" t="str">
        <f aca="false">IFERROR(INDEX(Summary!$B$11:$B$18,MATCH($A78,Summary!$A$11:$A$18,0)),"")</f>
        <v>TX</v>
      </c>
      <c r="C78" s="11" t="s">
        <v>39</v>
      </c>
      <c r="D78" s="11" t="n">
        <v>42</v>
      </c>
      <c r="E78" s="21" t="n">
        <v>45866</v>
      </c>
      <c r="F78" s="11" t="s">
        <v>250</v>
      </c>
      <c r="G78" s="11" t="s">
        <v>251</v>
      </c>
      <c r="H78" s="10" t="n">
        <v>3750</v>
      </c>
      <c r="I78" s="11" t="s">
        <v>252</v>
      </c>
      <c r="J78" s="11" t="s">
        <v>97</v>
      </c>
      <c r="K78" s="22" t="n">
        <f aca="false">IF(E78="","",($B$4-E78)/365.25)</f>
        <v>1.19096509240246</v>
      </c>
      <c r="L78" s="11" t="str">
        <f aca="false">IF(K78="","no date",IF(K78&lt;1,"0-1 yrs",IF(K78&lt;2,"1-2 yrs",IF(K78&lt;3,"2-3 yrs",IF(K78&lt;5,"3-5 yrs","5+ yrs")))))</f>
        <v>1-2 yrs</v>
      </c>
      <c r="M78" s="11" t="s">
        <v>97</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1" t="n">
        <f aca="false">IF(OR(O78="",E78=""),"",EDATE(E78,12*O78))</f>
        <v>46231</v>
      </c>
      <c r="Q78" s="21"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3"/>
      <c r="W78" s="23"/>
      <c r="X78" s="23"/>
      <c r="Y78" s="8"/>
      <c r="Z78" s="10" t="n">
        <f aca="false">IF(Q78="","",IF(Q78&lt;=$B$4,N(W78)+N(X78),0))</f>
        <v>0</v>
      </c>
      <c r="AA78" s="10" t="n">
        <f aca="false">IF(OR(LEFT(N78,6)="Larger",LEFT(N78,4)="Memo"),H78,0)</f>
        <v>3750</v>
      </c>
    </row>
    <row r="79" customFormat="false" ht="15" hidden="false" customHeight="false" outlineLevel="0" collapsed="false">
      <c r="A79" s="11" t="s">
        <v>39</v>
      </c>
      <c r="B79" s="12" t="str">
        <f aca="false">IFERROR(INDEX(Summary!$B$11:$B$18,MATCH($A79,Summary!$A$11:$A$18,0)),"")</f>
        <v>TX</v>
      </c>
      <c r="C79" s="11" t="s">
        <v>39</v>
      </c>
      <c r="D79" s="11" t="n">
        <v>43</v>
      </c>
      <c r="E79" s="21" t="n">
        <v>45869</v>
      </c>
      <c r="F79" s="11" t="s">
        <v>253</v>
      </c>
      <c r="G79" s="11" t="s">
        <v>254</v>
      </c>
      <c r="H79" s="10" t="n">
        <v>10600</v>
      </c>
      <c r="I79" s="11"/>
      <c r="J79" s="11" t="s">
        <v>97</v>
      </c>
      <c r="K79" s="22" t="n">
        <f aca="false">IF(E79="","",($B$4-E79)/365.25)</f>
        <v>1.18275154004107</v>
      </c>
      <c r="L79" s="11" t="str">
        <f aca="false">IF(K79="","no date",IF(K79&lt;1,"0-1 yrs",IF(K79&lt;2,"1-2 yrs",IF(K79&lt;3,"2-3 yrs",IF(K79&lt;5,"3-5 yrs","5+ yrs")))))</f>
        <v>1-2 yrs</v>
      </c>
      <c r="M79" s="11" t="s">
        <v>97</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1" t="n">
        <f aca="false">IF(OR(O79="",E79=""),"",EDATE(E79,12*O79))</f>
        <v>46234</v>
      </c>
      <c r="Q79" s="21"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3"/>
      <c r="W79" s="23"/>
      <c r="X79" s="23"/>
      <c r="Y79" s="8"/>
      <c r="Z79" s="10" t="n">
        <f aca="false">IF(Q79="","",IF(Q79&lt;=$B$4,N(W79)+N(X79),0))</f>
        <v>0</v>
      </c>
      <c r="AA79" s="10" t="n">
        <f aca="false">IF(OR(LEFT(N79,6)="Larger",LEFT(N79,4)="Memo"),H79,0)</f>
        <v>10600</v>
      </c>
    </row>
    <row r="80" customFormat="false" ht="15" hidden="false" customHeight="false" outlineLevel="0" collapsed="false">
      <c r="A80" s="11" t="s">
        <v>39</v>
      </c>
      <c r="B80" s="12" t="str">
        <f aca="false">IFERROR(INDEX(Summary!$B$11:$B$18,MATCH($A80,Summary!$A$11:$A$18,0)),"")</f>
        <v>TX</v>
      </c>
      <c r="C80" s="11" t="s">
        <v>39</v>
      </c>
      <c r="D80" s="11" t="n">
        <v>44</v>
      </c>
      <c r="E80" s="21" t="n">
        <v>45877</v>
      </c>
      <c r="F80" s="11" t="s">
        <v>255</v>
      </c>
      <c r="G80" s="11"/>
      <c r="H80" s="10" t="n">
        <v>531.25</v>
      </c>
      <c r="I80" s="11" t="s">
        <v>256</v>
      </c>
      <c r="J80" s="11" t="s">
        <v>97</v>
      </c>
      <c r="K80" s="22" t="n">
        <f aca="false">IF(E80="","",($B$4-E80)/365.25)</f>
        <v>1.16084873374401</v>
      </c>
      <c r="L80" s="11" t="str">
        <f aca="false">IF(K80="","no date",IF(K80&lt;1,"0-1 yrs",IF(K80&lt;2,"1-2 yrs",IF(K80&lt;3,"2-3 yrs",IF(K80&lt;5,"3-5 yrs","5+ yrs")))))</f>
        <v>1-2 yrs</v>
      </c>
      <c r="M80" s="11" t="s">
        <v>97</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1" t="n">
        <f aca="false">IF(OR(O80="",E80=""),"",EDATE(E80,12*O80))</f>
        <v>46242</v>
      </c>
      <c r="Q80" s="21"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3"/>
      <c r="W80" s="23"/>
      <c r="X80" s="23"/>
      <c r="Y80" s="8"/>
      <c r="Z80" s="10" t="n">
        <f aca="false">IF(Q80="","",IF(Q80&lt;=$B$4,N(W80)+N(X80),0))</f>
        <v>0</v>
      </c>
      <c r="AA80" s="10" t="n">
        <f aca="false">IF(OR(LEFT(N80,6)="Larger",LEFT(N80,4)="Memo"),H80,0)</f>
        <v>531.25</v>
      </c>
    </row>
    <row r="81" customFormat="false" ht="15" hidden="false" customHeight="false" outlineLevel="0" collapsed="false">
      <c r="A81" s="11" t="s">
        <v>39</v>
      </c>
      <c r="B81" s="12" t="str">
        <f aca="false">IFERROR(INDEX(Summary!$B$11:$B$18,MATCH($A81,Summary!$A$11:$A$18,0)),"")</f>
        <v>TX</v>
      </c>
      <c r="C81" s="11" t="s">
        <v>39</v>
      </c>
      <c r="D81" s="11" t="n">
        <v>45</v>
      </c>
      <c r="E81" s="21" t="n">
        <v>45888</v>
      </c>
      <c r="F81" s="11" t="s">
        <v>257</v>
      </c>
      <c r="G81" s="11"/>
      <c r="H81" s="10" t="n">
        <v>16200</v>
      </c>
      <c r="I81" s="11" t="s">
        <v>258</v>
      </c>
      <c r="J81" s="11" t="s">
        <v>97</v>
      </c>
      <c r="K81" s="22" t="n">
        <f aca="false">IF(E81="","",($B$4-E81)/365.25)</f>
        <v>1.13073237508556</v>
      </c>
      <c r="L81" s="11" t="str">
        <f aca="false">IF(K81="","no date",IF(K81&lt;1,"0-1 yrs",IF(K81&lt;2,"1-2 yrs",IF(K81&lt;3,"2-3 yrs",IF(K81&lt;5,"3-5 yrs","5+ yrs")))))</f>
        <v>1-2 yrs</v>
      </c>
      <c r="M81" s="11" t="s">
        <v>97</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1" t="n">
        <f aca="false">IF(OR(O81="",E81=""),"",EDATE(E81,12*O81))</f>
        <v>46253</v>
      </c>
      <c r="Q81" s="21"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3"/>
      <c r="W81" s="23"/>
      <c r="X81" s="23"/>
      <c r="Y81" s="8"/>
      <c r="Z81" s="10" t="n">
        <f aca="false">IF(Q81="","",IF(Q81&lt;=$B$4,N(W81)+N(X81),0))</f>
        <v>0</v>
      </c>
      <c r="AA81" s="10" t="n">
        <f aca="false">IF(OR(LEFT(N81,6)="Larger",LEFT(N81,4)="Memo"),H81,0)</f>
        <v>16200</v>
      </c>
    </row>
    <row r="82" customFormat="false" ht="15" hidden="false" customHeight="false" outlineLevel="0" collapsed="false">
      <c r="A82" s="11" t="s">
        <v>39</v>
      </c>
      <c r="B82" s="12" t="str">
        <f aca="false">IFERROR(INDEX(Summary!$B$11:$B$18,MATCH($A82,Summary!$A$11:$A$18,0)),"")</f>
        <v>TX</v>
      </c>
      <c r="C82" s="11" t="s">
        <v>39</v>
      </c>
      <c r="D82" s="11" t="n">
        <v>46</v>
      </c>
      <c r="E82" s="21" t="n">
        <v>45916</v>
      </c>
      <c r="F82" s="11" t="s">
        <v>259</v>
      </c>
      <c r="G82" s="11"/>
      <c r="H82" s="10" t="n">
        <v>636.75</v>
      </c>
      <c r="I82" s="11"/>
      <c r="J82" s="11" t="s">
        <v>97</v>
      </c>
      <c r="K82" s="22" t="n">
        <f aca="false">IF(E82="","",($B$4-E82)/365.25)</f>
        <v>1.05407255304586</v>
      </c>
      <c r="L82" s="11" t="str">
        <f aca="false">IF(K82="","no date",IF(K82&lt;1,"0-1 yrs",IF(K82&lt;2,"1-2 yrs",IF(K82&lt;3,"2-3 yrs",IF(K82&lt;5,"3-5 yrs","5+ yrs")))))</f>
        <v>1-2 yrs</v>
      </c>
      <c r="M82" s="11" t="s">
        <v>97</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1" t="n">
        <f aca="false">IF(OR(O82="",E82=""),"",EDATE(E82,12*O82))</f>
        <v>46281</v>
      </c>
      <c r="Q82" s="21"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3"/>
      <c r="W82" s="23"/>
      <c r="X82" s="23"/>
      <c r="Y82" s="8"/>
      <c r="Z82" s="10" t="n">
        <f aca="false">IF(Q82="","",IF(Q82&lt;=$B$4,N(W82)+N(X82),0))</f>
        <v>0</v>
      </c>
      <c r="AA82" s="10" t="n">
        <f aca="false">IF(OR(LEFT(N82,6)="Larger",LEFT(N82,4)="Memo"),H82,0)</f>
        <v>636.75</v>
      </c>
    </row>
    <row r="83" customFormat="false" ht="15" hidden="false" customHeight="false" outlineLevel="0" collapsed="false">
      <c r="A83" s="11" t="s">
        <v>39</v>
      </c>
      <c r="B83" s="12" t="str">
        <f aca="false">IFERROR(INDEX(Summary!$B$11:$B$18,MATCH($A83,Summary!$A$11:$A$18,0)),"")</f>
        <v>TX</v>
      </c>
      <c r="C83" s="11" t="s">
        <v>39</v>
      </c>
      <c r="D83" s="11" t="n">
        <v>47</v>
      </c>
      <c r="E83" s="21" t="n">
        <v>45930</v>
      </c>
      <c r="F83" s="11" t="s">
        <v>260</v>
      </c>
      <c r="G83" s="11"/>
      <c r="H83" s="10" t="n">
        <v>100</v>
      </c>
      <c r="I83" s="11"/>
      <c r="J83" s="11" t="s">
        <v>97</v>
      </c>
      <c r="K83" s="22" t="n">
        <f aca="false">IF(E83="","",($B$4-E83)/365.25)</f>
        <v>1.01574264202601</v>
      </c>
      <c r="L83" s="11" t="str">
        <f aca="false">IF(K83="","no date",IF(K83&lt;1,"0-1 yrs",IF(K83&lt;2,"1-2 yrs",IF(K83&lt;3,"2-3 yrs",IF(K83&lt;5,"3-5 yrs","5+ yrs")))))</f>
        <v>1-2 yrs</v>
      </c>
      <c r="M83" s="11" t="s">
        <v>97</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1" t="n">
        <f aca="false">IF(OR(O83="",E83=""),"",EDATE(E83,12*O83))</f>
        <v>46295</v>
      </c>
      <c r="Q83" s="21"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3"/>
      <c r="W83" s="23"/>
      <c r="X83" s="23"/>
      <c r="Y83" s="8"/>
      <c r="Z83" s="10" t="n">
        <f aca="false">IF(Q83="","",IF(Q83&lt;=$B$4,N(W83)+N(X83),0))</f>
        <v>0</v>
      </c>
      <c r="AA83" s="10" t="n">
        <f aca="false">IF(OR(LEFT(N83,6)="Larger",LEFT(N83,4)="Memo"),H83,0)</f>
        <v>0</v>
      </c>
    </row>
    <row r="84" customFormat="false" ht="15" hidden="false" customHeight="false" outlineLevel="0" collapsed="false">
      <c r="A84" s="11" t="s">
        <v>39</v>
      </c>
      <c r="B84" s="12" t="str">
        <f aca="false">IFERROR(INDEX(Summary!$B$11:$B$18,MATCH($A84,Summary!$A$11:$A$18,0)),"")</f>
        <v>TX</v>
      </c>
      <c r="C84" s="11" t="s">
        <v>39</v>
      </c>
      <c r="D84" s="11" t="n">
        <v>48</v>
      </c>
      <c r="E84" s="21" t="n">
        <v>46045</v>
      </c>
      <c r="F84" s="11" t="s">
        <v>261</v>
      </c>
      <c r="G84" s="11"/>
      <c r="H84" s="10" t="n">
        <v>850</v>
      </c>
      <c r="I84" s="11"/>
      <c r="J84" s="11" t="s">
        <v>97</v>
      </c>
      <c r="K84" s="22" t="n">
        <f aca="false">IF(E84="","",($B$4-E84)/365.25)</f>
        <v>0.700889801505818</v>
      </c>
      <c r="L84" s="11" t="str">
        <f aca="false">IF(K84="","no date",IF(K84&lt;1,"0-1 yrs",IF(K84&lt;2,"1-2 yrs",IF(K84&lt;3,"2-3 yrs",IF(K84&lt;5,"3-5 yrs","5+ yrs")))))</f>
        <v>0-1 yrs</v>
      </c>
      <c r="M84" s="11" t="s">
        <v>97</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1" t="n">
        <f aca="false">IF(OR(O84="",E84=""),"",EDATE(E84,12*O84))</f>
        <v>46410</v>
      </c>
      <c r="Q84" s="21"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3"/>
      <c r="W84" s="23"/>
      <c r="X84" s="23"/>
      <c r="Y84" s="8"/>
      <c r="Z84" s="10" t="n">
        <f aca="false">IF(Q84="","",IF(Q84&lt;=$B$4,N(W84)+N(X84),0))</f>
        <v>0</v>
      </c>
      <c r="AA84" s="10" t="n">
        <f aca="false">IF(OR(LEFT(N84,6)="Larger",LEFT(N84,4)="Memo"),H84,0)</f>
        <v>850</v>
      </c>
    </row>
    <row r="85" customFormat="false" ht="15" hidden="false" customHeight="false" outlineLevel="0" collapsed="false">
      <c r="A85" s="11" t="s">
        <v>39</v>
      </c>
      <c r="B85" s="12" t="str">
        <f aca="false">IFERROR(INDEX(Summary!$B$11:$B$18,MATCH($A85,Summary!$A$11:$A$18,0)),"")</f>
        <v>TX</v>
      </c>
      <c r="C85" s="11" t="s">
        <v>39</v>
      </c>
      <c r="D85" s="11" t="n">
        <v>49</v>
      </c>
      <c r="E85" s="21" t="n">
        <v>46052</v>
      </c>
      <c r="F85" s="11" t="s">
        <v>262</v>
      </c>
      <c r="G85" s="11"/>
      <c r="H85" s="10" t="n">
        <v>644</v>
      </c>
      <c r="I85" s="11"/>
      <c r="J85" s="11" t="s">
        <v>97</v>
      </c>
      <c r="K85" s="22" t="n">
        <f aca="false">IF(E85="","",($B$4-E85)/365.25)</f>
        <v>0.681724845995893</v>
      </c>
      <c r="L85" s="11" t="str">
        <f aca="false">IF(K85="","no date",IF(K85&lt;1,"0-1 yrs",IF(K85&lt;2,"1-2 yrs",IF(K85&lt;3,"2-3 yrs",IF(K85&lt;5,"3-5 yrs","5+ yrs")))))</f>
        <v>0-1 yrs</v>
      </c>
      <c r="M85" s="11" t="s">
        <v>97</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1" t="n">
        <f aca="false">IF(OR(O85="",E85=""),"",EDATE(E85,12*O85))</f>
        <v>46417</v>
      </c>
      <c r="Q85" s="21"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3"/>
      <c r="W85" s="23"/>
      <c r="X85" s="23"/>
      <c r="Y85" s="8"/>
      <c r="Z85" s="10" t="n">
        <f aca="false">IF(Q85="","",IF(Q85&lt;=$B$4,N(W85)+N(X85),0))</f>
        <v>0</v>
      </c>
      <c r="AA85" s="10" t="n">
        <f aca="false">IF(OR(LEFT(N85,6)="Larger",LEFT(N85,4)="Memo"),H85,0)</f>
        <v>0</v>
      </c>
    </row>
    <row r="86" customFormat="false" ht="15" hidden="false" customHeight="false" outlineLevel="0" collapsed="false">
      <c r="A86" s="11" t="s">
        <v>39</v>
      </c>
      <c r="B86" s="12" t="str">
        <f aca="false">IFERROR(INDEX(Summary!$B$11:$B$18,MATCH($A86,Summary!$A$11:$A$18,0)),"")</f>
        <v>TX</v>
      </c>
      <c r="C86" s="11" t="s">
        <v>39</v>
      </c>
      <c r="D86" s="11" t="n">
        <v>50</v>
      </c>
      <c r="E86" s="21" t="n">
        <v>46098</v>
      </c>
      <c r="F86" s="11" t="s">
        <v>263</v>
      </c>
      <c r="G86" s="11" t="s">
        <v>264</v>
      </c>
      <c r="H86" s="10" t="n">
        <v>1397.5</v>
      </c>
      <c r="I86" s="11"/>
      <c r="J86" s="11" t="s">
        <v>97</v>
      </c>
      <c r="K86" s="22" t="n">
        <f aca="false">IF(E86="","",($B$4-E86)/365.25)</f>
        <v>0.555783709787817</v>
      </c>
      <c r="L86" s="11" t="str">
        <f aca="false">IF(K86="","no date",IF(K86&lt;1,"0-1 yrs",IF(K86&lt;2,"1-2 yrs",IF(K86&lt;3,"2-3 yrs",IF(K86&lt;5,"3-5 yrs","5+ yrs")))))</f>
        <v>0-1 yrs</v>
      </c>
      <c r="M86" s="11" t="s">
        <v>97</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1" t="n">
        <f aca="false">IF(OR(O86="",E86=""),"",EDATE(E86,12*O86))</f>
        <v>46463</v>
      </c>
      <c r="Q86" s="21"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3"/>
      <c r="W86" s="23"/>
      <c r="X86" s="23"/>
      <c r="Y86" s="8"/>
      <c r="Z86" s="10" t="n">
        <f aca="false">IF(Q86="","",IF(Q86&lt;=$B$4,N(W86)+N(X86),0))</f>
        <v>0</v>
      </c>
      <c r="AA86" s="10" t="n">
        <f aca="false">IF(OR(LEFT(N86,6)="Larger",LEFT(N86,4)="Memo"),H86,0)</f>
        <v>1397.5</v>
      </c>
    </row>
    <row r="87" customFormat="false" ht="15" hidden="false" customHeight="false" outlineLevel="0" collapsed="false">
      <c r="A87" s="11" t="s">
        <v>39</v>
      </c>
      <c r="B87" s="12" t="str">
        <f aca="false">IFERROR(INDEX(Summary!$B$11:$B$18,MATCH($A87,Summary!$A$11:$A$18,0)),"")</f>
        <v>TX</v>
      </c>
      <c r="C87" s="11" t="s">
        <v>39</v>
      </c>
      <c r="D87" s="11" t="n">
        <v>51</v>
      </c>
      <c r="E87" s="21" t="n">
        <v>46119</v>
      </c>
      <c r="F87" s="11" t="s">
        <v>265</v>
      </c>
      <c r="G87" s="11" t="s">
        <v>266</v>
      </c>
      <c r="H87" s="10" t="n">
        <v>999.5</v>
      </c>
      <c r="I87" s="11"/>
      <c r="J87" s="11" t="s">
        <v>97</v>
      </c>
      <c r="K87" s="22" t="n">
        <f aca="false">IF(E87="","",($B$4-E87)/365.25)</f>
        <v>0.498288843258042</v>
      </c>
      <c r="L87" s="11" t="str">
        <f aca="false">IF(K87="","no date",IF(K87&lt;1,"0-1 yrs",IF(K87&lt;2,"1-2 yrs",IF(K87&lt;3,"2-3 yrs",IF(K87&lt;5,"3-5 yrs","5+ yrs")))))</f>
        <v>0-1 yrs</v>
      </c>
      <c r="M87" s="11" t="s">
        <v>97</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1" t="n">
        <f aca="false">IF(OR(O87="",E87=""),"",EDATE(E87,12*O87))</f>
        <v>46484</v>
      </c>
      <c r="Q87" s="21"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3"/>
      <c r="W87" s="23"/>
      <c r="X87" s="23"/>
      <c r="Y87" s="8"/>
      <c r="Z87" s="10" t="n">
        <f aca="false">IF(Q87="","",IF(Q87&lt;=$B$4,N(W87)+N(X87),0))</f>
        <v>0</v>
      </c>
      <c r="AA87" s="10" t="n">
        <f aca="false">IF(OR(LEFT(N87,6)="Larger",LEFT(N87,4)="Memo"),H87,0)</f>
        <v>999.5</v>
      </c>
    </row>
    <row r="88" customFormat="false" ht="15" hidden="false" customHeight="false" outlineLevel="0" collapsed="false">
      <c r="A88" s="11" t="s">
        <v>39</v>
      </c>
      <c r="B88" s="12" t="str">
        <f aca="false">IFERROR(INDEX(Summary!$B$11:$B$18,MATCH($A88,Summary!$A$11:$A$18,0)),"")</f>
        <v>TX</v>
      </c>
      <c r="C88" s="11" t="s">
        <v>39</v>
      </c>
      <c r="D88" s="11" t="n">
        <v>52</v>
      </c>
      <c r="E88" s="21" t="n">
        <v>46146</v>
      </c>
      <c r="F88" s="11" t="s">
        <v>267</v>
      </c>
      <c r="G88" s="11"/>
      <c r="H88" s="10" t="n">
        <v>15450</v>
      </c>
      <c r="I88" s="11" t="s">
        <v>224</v>
      </c>
      <c r="J88" s="11" t="s">
        <v>97</v>
      </c>
      <c r="K88" s="22" t="n">
        <f aca="false">IF(E88="","",($B$4-E88)/365.25)</f>
        <v>0.424366872005476</v>
      </c>
      <c r="L88" s="11" t="str">
        <f aca="false">IF(K88="","no date",IF(K88&lt;1,"0-1 yrs",IF(K88&lt;2,"1-2 yrs",IF(K88&lt;3,"2-3 yrs",IF(K88&lt;5,"3-5 yrs","5+ yrs")))))</f>
        <v>0-1 yrs</v>
      </c>
      <c r="M88" s="11" t="s">
        <v>97</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1" t="n">
        <f aca="false">IF(OR(O88="",E88=""),"",EDATE(E88,12*O88))</f>
        <v>46511</v>
      </c>
      <c r="Q88" s="21"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3"/>
      <c r="W88" s="23"/>
      <c r="X88" s="23"/>
      <c r="Y88" s="8"/>
      <c r="Z88" s="10" t="n">
        <f aca="false">IF(Q88="","",IF(Q88&lt;=$B$4,N(W88)+N(X88),0))</f>
        <v>0</v>
      </c>
      <c r="AA88" s="10" t="n">
        <f aca="false">IF(OR(LEFT(N88,6)="Larger",LEFT(N88,4)="Memo"),H88,0)</f>
        <v>15450</v>
      </c>
    </row>
    <row r="89" customFormat="false" ht="15" hidden="false" customHeight="false" outlineLevel="0" collapsed="false">
      <c r="A89" s="11" t="s">
        <v>39</v>
      </c>
      <c r="B89" s="12" t="str">
        <f aca="false">IFERROR(INDEX(Summary!$B$11:$B$18,MATCH($A89,Summary!$A$11:$A$18,0)),"")</f>
        <v>TX</v>
      </c>
      <c r="C89" s="11" t="s">
        <v>39</v>
      </c>
      <c r="D89" s="11" t="n">
        <v>53</v>
      </c>
      <c r="E89" s="21" t="n">
        <v>46162</v>
      </c>
      <c r="F89" s="11" t="s">
        <v>268</v>
      </c>
      <c r="G89" s="11"/>
      <c r="H89" s="10" t="n">
        <v>644</v>
      </c>
      <c r="I89" s="11" t="s">
        <v>269</v>
      </c>
      <c r="J89" s="11" t="s">
        <v>97</v>
      </c>
      <c r="K89" s="22" t="n">
        <f aca="false">IF(E89="","",($B$4-E89)/365.25)</f>
        <v>0.380561259411362</v>
      </c>
      <c r="L89" s="11" t="str">
        <f aca="false">IF(K89="","no date",IF(K89&lt;1,"0-1 yrs",IF(K89&lt;2,"1-2 yrs",IF(K89&lt;3,"2-3 yrs",IF(K89&lt;5,"3-5 yrs","5+ yrs")))))</f>
        <v>0-1 yrs</v>
      </c>
      <c r="M89" s="11" t="s">
        <v>97</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1" t="n">
        <f aca="false">IF(OR(O89="",E89=""),"",EDATE(E89,12*O89))</f>
        <v>46527</v>
      </c>
      <c r="Q89" s="21"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3"/>
      <c r="W89" s="23"/>
      <c r="X89" s="23"/>
      <c r="Y89" s="8"/>
      <c r="Z89" s="10" t="n">
        <f aca="false">IF(Q89="","",IF(Q89&lt;=$B$4,N(W89)+N(X89),0))</f>
        <v>0</v>
      </c>
      <c r="AA89" s="10" t="n">
        <f aca="false">IF(OR(LEFT(N89,6)="Larger",LEFT(N89,4)="Memo"),H89,0)</f>
        <v>0</v>
      </c>
    </row>
    <row r="90" customFormat="false" ht="15" hidden="false" customHeight="false" outlineLevel="0" collapsed="false">
      <c r="A90" s="11" t="s">
        <v>39</v>
      </c>
      <c r="B90" s="12" t="str">
        <f aca="false">IFERROR(INDEX(Summary!$B$11:$B$18,MATCH($A90,Summary!$A$11:$A$18,0)),"")</f>
        <v>TX</v>
      </c>
      <c r="C90" s="11" t="s">
        <v>39</v>
      </c>
      <c r="D90" s="11" t="n">
        <v>54</v>
      </c>
      <c r="E90" s="21" t="n">
        <v>46188</v>
      </c>
      <c r="F90" s="11" t="s">
        <v>270</v>
      </c>
      <c r="G90" s="11" t="s">
        <v>271</v>
      </c>
      <c r="H90" s="10" t="n">
        <v>875</v>
      </c>
      <c r="I90" s="11" t="s">
        <v>272</v>
      </c>
      <c r="J90" s="11" t="s">
        <v>97</v>
      </c>
      <c r="K90" s="22" t="n">
        <f aca="false">IF(E90="","",($B$4-E90)/365.25)</f>
        <v>0.309377138945927</v>
      </c>
      <c r="L90" s="11" t="str">
        <f aca="false">IF(K90="","no date",IF(K90&lt;1,"0-1 yrs",IF(K90&lt;2,"1-2 yrs",IF(K90&lt;3,"2-3 yrs",IF(K90&lt;5,"3-5 yrs","5+ yrs")))))</f>
        <v>0-1 yrs</v>
      </c>
      <c r="M90" s="11" t="s">
        <v>97</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1" t="n">
        <f aca="false">IF(OR(O90="",E90=""),"",EDATE(E90,12*O90))</f>
        <v>46553</v>
      </c>
      <c r="Q90" s="21"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3"/>
      <c r="W90" s="23"/>
      <c r="X90" s="23"/>
      <c r="Y90" s="8"/>
      <c r="Z90" s="10" t="n">
        <f aca="false">IF(Q90="","",IF(Q90&lt;=$B$4,N(W90)+N(X90),0))</f>
        <v>0</v>
      </c>
      <c r="AA90" s="10" t="n">
        <f aca="false">IF(OR(LEFT(N90,6)="Larger",LEFT(N90,4)="Memo"),H90,0)</f>
        <v>875</v>
      </c>
    </row>
    <row r="91" customFormat="false" ht="15" hidden="false" customHeight="false" outlineLevel="0" collapsed="false">
      <c r="A91" s="11" t="s">
        <v>39</v>
      </c>
      <c r="B91" s="12" t="str">
        <f aca="false">IFERROR(INDEX(Summary!$B$11:$B$18,MATCH($A91,Summary!$A$11:$A$18,0)),"")</f>
        <v>TX</v>
      </c>
      <c r="C91" s="11" t="s">
        <v>39</v>
      </c>
      <c r="D91" s="11" t="n">
        <v>55</v>
      </c>
      <c r="E91" s="21" t="n">
        <v>46197</v>
      </c>
      <c r="F91" s="11" t="s">
        <v>273</v>
      </c>
      <c r="G91" s="11" t="s">
        <v>274</v>
      </c>
      <c r="H91" s="10" t="n">
        <v>922.5</v>
      </c>
      <c r="I91" s="11" t="s">
        <v>275</v>
      </c>
      <c r="J91" s="11" t="s">
        <v>97</v>
      </c>
      <c r="K91" s="22" t="n">
        <f aca="false">IF(E91="","",($B$4-E91)/365.25)</f>
        <v>0.284736481861739</v>
      </c>
      <c r="L91" s="11" t="str">
        <f aca="false">IF(K91="","no date",IF(K91&lt;1,"0-1 yrs",IF(K91&lt;2,"1-2 yrs",IF(K91&lt;3,"2-3 yrs",IF(K91&lt;5,"3-5 yrs","5+ yrs")))))</f>
        <v>0-1 yrs</v>
      </c>
      <c r="M91" s="11" t="s">
        <v>97</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1" t="n">
        <f aca="false">IF(OR(O91="",E91=""),"",EDATE(E91,12*O91))</f>
        <v>46562</v>
      </c>
      <c r="Q91" s="21"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3"/>
      <c r="W91" s="23"/>
      <c r="X91" s="23"/>
      <c r="Y91" s="8"/>
      <c r="Z91" s="10" t="n">
        <f aca="false">IF(Q91="","",IF(Q91&lt;=$B$4,N(W91)+N(X91),0))</f>
        <v>0</v>
      </c>
      <c r="AA91" s="10" t="n">
        <f aca="false">IF(OR(LEFT(N91,6)="Larger",LEFT(N91,4)="Memo"),H91,0)</f>
        <v>922.5</v>
      </c>
    </row>
    <row r="92" customFormat="false" ht="15" hidden="false" customHeight="false" outlineLevel="0" collapsed="false">
      <c r="A92" s="11" t="s">
        <v>39</v>
      </c>
      <c r="B92" s="12" t="str">
        <f aca="false">IFERROR(INDEX(Summary!$B$11:$B$18,MATCH($A92,Summary!$A$11:$A$18,0)),"")</f>
        <v>TX</v>
      </c>
      <c r="C92" s="11" t="s">
        <v>39</v>
      </c>
      <c r="D92" s="11" t="n">
        <v>56</v>
      </c>
      <c r="E92" s="21" t="n">
        <v>46202</v>
      </c>
      <c r="F92" s="11" t="s">
        <v>276</v>
      </c>
      <c r="G92" s="11" t="s">
        <v>277</v>
      </c>
      <c r="H92" s="10" t="n">
        <v>1000</v>
      </c>
      <c r="I92" s="11"/>
      <c r="J92" s="11" t="s">
        <v>97</v>
      </c>
      <c r="K92" s="22" t="n">
        <f aca="false">IF(E92="","",($B$4-E92)/365.25)</f>
        <v>0.271047227926078</v>
      </c>
      <c r="L92" s="11" t="str">
        <f aca="false">IF(K92="","no date",IF(K92&lt;1,"0-1 yrs",IF(K92&lt;2,"1-2 yrs",IF(K92&lt;3,"2-3 yrs",IF(K92&lt;5,"3-5 yrs","5+ yrs")))))</f>
        <v>0-1 yrs</v>
      </c>
      <c r="M92" s="11" t="s">
        <v>97</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1" t="n">
        <f aca="false">IF(OR(O92="",E92=""),"",EDATE(E92,12*O92))</f>
        <v>46567</v>
      </c>
      <c r="Q92" s="21"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3"/>
      <c r="W92" s="23"/>
      <c r="X92" s="23"/>
      <c r="Y92" s="8"/>
      <c r="Z92" s="10" t="n">
        <f aca="false">IF(Q92="","",IF(Q92&lt;=$B$4,N(W92)+N(X92),0))</f>
        <v>0</v>
      </c>
      <c r="AA92" s="10" t="n">
        <f aca="false">IF(OR(LEFT(N92,6)="Larger",LEFT(N92,4)="Memo"),H92,0)</f>
        <v>1000</v>
      </c>
    </row>
    <row r="93" customFormat="false" ht="15" hidden="false" customHeight="false" outlineLevel="0" collapsed="false">
      <c r="A93" s="11" t="s">
        <v>39</v>
      </c>
      <c r="B93" s="12" t="str">
        <f aca="false">IFERROR(INDEX(Summary!$B$11:$B$18,MATCH($A93,Summary!$A$11:$A$18,0)),"")</f>
        <v>TX</v>
      </c>
      <c r="C93" s="11" t="s">
        <v>39</v>
      </c>
      <c r="D93" s="11" t="n">
        <v>57</v>
      </c>
      <c r="E93" s="21" t="n">
        <v>46203</v>
      </c>
      <c r="F93" s="11" t="s">
        <v>278</v>
      </c>
      <c r="G93" s="11" t="s">
        <v>279</v>
      </c>
      <c r="H93" s="10" t="n">
        <v>1700</v>
      </c>
      <c r="I93" s="11" t="s">
        <v>280</v>
      </c>
      <c r="J93" s="11" t="s">
        <v>97</v>
      </c>
      <c r="K93" s="22" t="n">
        <f aca="false">IF(E93="","",($B$4-E93)/365.25)</f>
        <v>0.268309377138946</v>
      </c>
      <c r="L93" s="11" t="str">
        <f aca="false">IF(K93="","no date",IF(K93&lt;1,"0-1 yrs",IF(K93&lt;2,"1-2 yrs",IF(K93&lt;3,"2-3 yrs",IF(K93&lt;5,"3-5 yrs","5+ yrs")))))</f>
        <v>0-1 yrs</v>
      </c>
      <c r="M93" s="11" t="s">
        <v>97</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1" t="n">
        <f aca="false">IF(OR(O93="",E93=""),"",EDATE(E93,12*O93))</f>
        <v>46568</v>
      </c>
      <c r="Q93" s="21"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3"/>
      <c r="W93" s="23"/>
      <c r="X93" s="23"/>
      <c r="Y93" s="8"/>
      <c r="Z93" s="10" t="n">
        <f aca="false">IF(Q93="","",IF(Q93&lt;=$B$4,N(W93)+N(X93),0))</f>
        <v>0</v>
      </c>
      <c r="AA93" s="10" t="n">
        <f aca="false">IF(OR(LEFT(N93,6)="Larger",LEFT(N93,4)="Memo"),H93,0)</f>
        <v>1700</v>
      </c>
    </row>
    <row r="94" customFormat="false" ht="15" hidden="false" customHeight="false" outlineLevel="0" collapsed="false">
      <c r="A94" s="11" t="s">
        <v>39</v>
      </c>
      <c r="B94" s="12" t="str">
        <f aca="false">IFERROR(INDEX(Summary!$B$11:$B$18,MATCH($A94,Summary!$A$11:$A$18,0)),"")</f>
        <v>TX</v>
      </c>
      <c r="C94" s="11" t="s">
        <v>39</v>
      </c>
      <c r="D94" s="11" t="n">
        <v>58</v>
      </c>
      <c r="E94" s="21" t="n">
        <v>46204</v>
      </c>
      <c r="F94" s="11" t="s">
        <v>281</v>
      </c>
      <c r="G94" s="11" t="s">
        <v>254</v>
      </c>
      <c r="H94" s="10" t="n">
        <v>644</v>
      </c>
      <c r="I94" s="11" t="s">
        <v>282</v>
      </c>
      <c r="J94" s="11" t="s">
        <v>97</v>
      </c>
      <c r="K94" s="22" t="n">
        <f aca="false">IF(E94="","",($B$4-E94)/365.25)</f>
        <v>0.265571526351814</v>
      </c>
      <c r="L94" s="11" t="str">
        <f aca="false">IF(K94="","no date",IF(K94&lt;1,"0-1 yrs",IF(K94&lt;2,"1-2 yrs",IF(K94&lt;3,"2-3 yrs",IF(K94&lt;5,"3-5 yrs","5+ yrs")))))</f>
        <v>0-1 yrs</v>
      </c>
      <c r="M94" s="11" t="s">
        <v>97</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1" t="n">
        <f aca="false">IF(OR(O94="",E94=""),"",EDATE(E94,12*O94))</f>
        <v>46569</v>
      </c>
      <c r="Q94" s="21"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3"/>
      <c r="W94" s="23"/>
      <c r="X94" s="23"/>
      <c r="Y94" s="8"/>
      <c r="Z94" s="10" t="n">
        <f aca="false">IF(Q94="","",IF(Q94&lt;=$B$4,N(W94)+N(X94),0))</f>
        <v>0</v>
      </c>
      <c r="AA94" s="10" t="n">
        <f aca="false">IF(OR(LEFT(N94,6)="Larger",LEFT(N94,4)="Memo"),H94,0)</f>
        <v>0</v>
      </c>
    </row>
    <row r="95" customFormat="false" ht="15" hidden="false" customHeight="false" outlineLevel="0" collapsed="false">
      <c r="A95" s="11" t="s">
        <v>39</v>
      </c>
      <c r="B95" s="12" t="str">
        <f aca="false">IFERROR(INDEX(Summary!$B$11:$B$18,MATCH($A95,Summary!$A$11:$A$18,0)),"")</f>
        <v>TX</v>
      </c>
      <c r="C95" s="11" t="s">
        <v>39</v>
      </c>
      <c r="D95" s="11" t="n">
        <v>59</v>
      </c>
      <c r="E95" s="21" t="n">
        <v>46224</v>
      </c>
      <c r="F95" s="11" t="s">
        <v>283</v>
      </c>
      <c r="G95" s="11" t="s">
        <v>284</v>
      </c>
      <c r="H95" s="10" t="n">
        <v>495</v>
      </c>
      <c r="I95" s="11" t="s">
        <v>285</v>
      </c>
      <c r="J95" s="11" t="s">
        <v>97</v>
      </c>
      <c r="K95" s="22" t="n">
        <f aca="false">IF(E95="","",($B$4-E95)/365.25)</f>
        <v>0.210814510609172</v>
      </c>
      <c r="L95" s="11" t="str">
        <f aca="false">IF(K95="","no date",IF(K95&lt;1,"0-1 yrs",IF(K95&lt;2,"1-2 yrs",IF(K95&lt;3,"2-3 yrs",IF(K95&lt;5,"3-5 yrs","5+ yrs")))))</f>
        <v>0-1 yrs</v>
      </c>
      <c r="M95" s="11" t="s">
        <v>97</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1" t="n">
        <f aca="false">IF(OR(O95="",E95=""),"",EDATE(E95,12*O95))</f>
        <v>46589</v>
      </c>
      <c r="Q95" s="21"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3"/>
      <c r="W95" s="23"/>
      <c r="X95" s="23"/>
      <c r="Y95" s="8"/>
      <c r="Z95" s="10" t="n">
        <f aca="false">IF(Q95="","",IF(Q95&lt;=$B$4,N(W95)+N(X95),0))</f>
        <v>0</v>
      </c>
      <c r="AA95" s="10" t="n">
        <f aca="false">IF(OR(LEFT(N95,6)="Larger",LEFT(N95,4)="Memo"),H95,0)</f>
        <v>0</v>
      </c>
    </row>
    <row r="96" customFormat="false" ht="15" hidden="false" customHeight="false" outlineLevel="0" collapsed="false">
      <c r="A96" s="11" t="s">
        <v>39</v>
      </c>
      <c r="B96" s="12" t="str">
        <f aca="false">IFERROR(INDEX(Summary!$B$11:$B$18,MATCH($A96,Summary!$A$11:$A$18,0)),"")</f>
        <v>TX</v>
      </c>
      <c r="C96" s="11" t="s">
        <v>39</v>
      </c>
      <c r="D96" s="11" t="n">
        <v>60</v>
      </c>
      <c r="E96" s="21" t="n">
        <v>46239</v>
      </c>
      <c r="F96" s="11"/>
      <c r="G96" s="11"/>
      <c r="H96" s="10" t="n">
        <v>795</v>
      </c>
      <c r="I96" s="11"/>
      <c r="J96" s="11" t="s">
        <v>97</v>
      </c>
      <c r="K96" s="22" t="n">
        <f aca="false">IF(E96="","",($B$4-E96)/365.25)</f>
        <v>0.16974674880219</v>
      </c>
      <c r="L96" s="11" t="str">
        <f aca="false">IF(K96="","no date",IF(K96&lt;1,"0-1 yrs",IF(K96&lt;2,"1-2 yrs",IF(K96&lt;3,"2-3 yrs",IF(K96&lt;5,"3-5 yrs","5+ yrs")))))</f>
        <v>0-1 yrs</v>
      </c>
      <c r="M96" s="11" t="s">
        <v>97</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1" t="n">
        <f aca="false">IF(OR(O96="",E96=""),"",EDATE(E96,12*O96))</f>
        <v>46604</v>
      </c>
      <c r="Q96" s="21"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3"/>
      <c r="W96" s="23"/>
      <c r="X96" s="23"/>
      <c r="Y96" s="8"/>
      <c r="Z96" s="10" t="n">
        <f aca="false">IF(Q96="","",IF(Q96&lt;=$B$4,N(W96)+N(X96),0))</f>
        <v>0</v>
      </c>
      <c r="AA96" s="10" t="n">
        <f aca="false">IF(OR(LEFT(N96,6)="Larger",LEFT(N96,4)="Memo"),H96,0)</f>
        <v>795</v>
      </c>
    </row>
    <row r="97" customFormat="false" ht="15" hidden="false" customHeight="false" outlineLevel="0" collapsed="false">
      <c r="A97" s="11" t="s">
        <v>41</v>
      </c>
      <c r="B97" s="12" t="str">
        <f aca="false">IFERROR(INDEX(Summary!$B$11:$B$18,MATCH($A97,Summary!$A$11:$A$18,0)),"")</f>
        <v>TX</v>
      </c>
      <c r="C97" s="11" t="s">
        <v>41</v>
      </c>
      <c r="D97" s="11" t="n">
        <v>22</v>
      </c>
      <c r="E97" s="21" t="n">
        <v>44951</v>
      </c>
      <c r="F97" s="11" t="s">
        <v>286</v>
      </c>
      <c r="G97" s="11" t="s">
        <v>214</v>
      </c>
      <c r="H97" s="10" t="n">
        <v>120</v>
      </c>
      <c r="I97" s="11" t="s">
        <v>287</v>
      </c>
      <c r="J97" s="11" t="s">
        <v>97</v>
      </c>
      <c r="K97" s="22" t="n">
        <f aca="false">IF(E97="","",($B$4-E97)/365.25)</f>
        <v>3.69609856262834</v>
      </c>
      <c r="L97" s="11" t="str">
        <f aca="false">IF(K97="","no date",IF(K97&lt;1,"0-1 yrs",IF(K97&lt;2,"1-2 yrs",IF(K97&lt;3,"2-3 yrs",IF(K97&lt;5,"3-5 yrs","5+ yrs")))))</f>
        <v>3-5 yrs</v>
      </c>
      <c r="M97" s="11" t="s">
        <v>97</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1" t="n">
        <f aca="false">IF(OR(O97="",E97=""),"",EDATE(E97,12*O97))</f>
        <v>45316</v>
      </c>
      <c r="Q97" s="21"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3"/>
      <c r="W97" s="23"/>
      <c r="X97" s="23"/>
      <c r="Y97" s="8"/>
      <c r="Z97" s="10" t="n">
        <f aca="false">IF(Q97="","",IF(Q97&lt;=$B$4,N(W97)+N(X97),0))</f>
        <v>0</v>
      </c>
      <c r="AA97" s="10" t="n">
        <f aca="false">IF(OR(LEFT(N97,6)="Larger",LEFT(N97,4)="Memo"),H97,0)</f>
        <v>0</v>
      </c>
    </row>
    <row r="98" customFormat="false" ht="15" hidden="false" customHeight="false" outlineLevel="0" collapsed="false">
      <c r="A98" s="11" t="s">
        <v>41</v>
      </c>
      <c r="B98" s="12" t="str">
        <f aca="false">IFERROR(INDEX(Summary!$B$11:$B$18,MATCH($A98,Summary!$A$11:$A$18,0)),"")</f>
        <v>TX</v>
      </c>
      <c r="C98" s="11" t="s">
        <v>41</v>
      </c>
      <c r="D98" s="11" t="n">
        <v>23</v>
      </c>
      <c r="E98" s="21" t="n">
        <v>45049</v>
      </c>
      <c r="F98" s="11" t="s">
        <v>288</v>
      </c>
      <c r="G98" s="11" t="s">
        <v>289</v>
      </c>
      <c r="H98" s="10" t="n">
        <v>544</v>
      </c>
      <c r="I98" s="11" t="s">
        <v>290</v>
      </c>
      <c r="J98" s="11" t="s">
        <v>97</v>
      </c>
      <c r="K98" s="22" t="n">
        <f aca="false">IF(E98="","",($B$4-E98)/365.25)</f>
        <v>3.42778918548939</v>
      </c>
      <c r="L98" s="11" t="str">
        <f aca="false">IF(K98="","no date",IF(K98&lt;1,"0-1 yrs",IF(K98&lt;2,"1-2 yrs",IF(K98&lt;3,"2-3 yrs",IF(K98&lt;5,"3-5 yrs","5+ yrs")))))</f>
        <v>3-5 yrs</v>
      </c>
      <c r="M98" s="11" t="s">
        <v>97</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1" t="n">
        <f aca="false">IF(OR(O98="",E98=""),"",EDATE(E98,12*O98))</f>
        <v>45415</v>
      </c>
      <c r="Q98" s="21"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3"/>
      <c r="W98" s="23"/>
      <c r="X98" s="23"/>
      <c r="Y98" s="8"/>
      <c r="Z98" s="10" t="n">
        <f aca="false">IF(Q98="","",IF(Q98&lt;=$B$4,N(W98)+N(X98),0))</f>
        <v>0</v>
      </c>
      <c r="AA98" s="10" t="n">
        <f aca="false">IF(OR(LEFT(N98,6)="Larger",LEFT(N98,4)="Memo"),H98,0)</f>
        <v>0</v>
      </c>
    </row>
    <row r="99" customFormat="false" ht="15" hidden="false" customHeight="false" outlineLevel="0" collapsed="false">
      <c r="A99" s="11" t="s">
        <v>41</v>
      </c>
      <c r="B99" s="12" t="str">
        <f aca="false">IFERROR(INDEX(Summary!$B$11:$B$18,MATCH($A99,Summary!$A$11:$A$18,0)),"")</f>
        <v>TX</v>
      </c>
      <c r="C99" s="11" t="s">
        <v>41</v>
      </c>
      <c r="D99" s="11" t="n">
        <v>24</v>
      </c>
      <c r="E99" s="21" t="n">
        <v>45093</v>
      </c>
      <c r="F99" s="11" t="s">
        <v>291</v>
      </c>
      <c r="G99" s="11" t="s">
        <v>292</v>
      </c>
      <c r="H99" s="10" t="n">
        <v>250</v>
      </c>
      <c r="I99" s="11" t="s">
        <v>293</v>
      </c>
      <c r="J99" s="11" t="s">
        <v>97</v>
      </c>
      <c r="K99" s="22" t="n">
        <f aca="false">IF(E99="","",($B$4-E99)/365.25)</f>
        <v>3.30732375085558</v>
      </c>
      <c r="L99" s="11" t="str">
        <f aca="false">IF(K99="","no date",IF(K99&lt;1,"0-1 yrs",IF(K99&lt;2,"1-2 yrs",IF(K99&lt;3,"2-3 yrs",IF(K99&lt;5,"3-5 yrs","5+ yrs")))))</f>
        <v>3-5 yrs</v>
      </c>
      <c r="M99" s="11" t="s">
        <v>97</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1" t="n">
        <f aca="false">IF(OR(O99="",E99=""),"",EDATE(E99,12*O99))</f>
        <v>45459</v>
      </c>
      <c r="Q99" s="21"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3"/>
      <c r="W99" s="23"/>
      <c r="X99" s="23"/>
      <c r="Y99" s="8"/>
      <c r="Z99" s="10" t="n">
        <f aca="false">IF(Q99="","",IF(Q99&lt;=$B$4,N(W99)+N(X99),0))</f>
        <v>0</v>
      </c>
      <c r="AA99" s="10" t="n">
        <f aca="false">IF(OR(LEFT(N99,6)="Larger",LEFT(N99,4)="Memo"),H99,0)</f>
        <v>0</v>
      </c>
    </row>
    <row r="100" customFormat="false" ht="15" hidden="false" customHeight="false" outlineLevel="0" collapsed="false">
      <c r="A100" s="11" t="s">
        <v>41</v>
      </c>
      <c r="B100" s="12" t="str">
        <f aca="false">IFERROR(INDEX(Summary!$B$11:$B$18,MATCH($A100,Summary!$A$11:$A$18,0)),"")</f>
        <v>TX</v>
      </c>
      <c r="C100" s="11" t="s">
        <v>41</v>
      </c>
      <c r="D100" s="11" t="n">
        <v>25</v>
      </c>
      <c r="E100" s="21" t="n">
        <v>45093</v>
      </c>
      <c r="F100" s="11" t="s">
        <v>294</v>
      </c>
      <c r="G100" s="11"/>
      <c r="H100" s="10" t="n">
        <v>644</v>
      </c>
      <c r="I100" s="11" t="s">
        <v>295</v>
      </c>
      <c r="J100" s="11" t="s">
        <v>97</v>
      </c>
      <c r="K100" s="22" t="n">
        <f aca="false">IF(E100="","",($B$4-E100)/365.25)</f>
        <v>3.30732375085558</v>
      </c>
      <c r="L100" s="11" t="str">
        <f aca="false">IF(K100="","no date",IF(K100&lt;1,"0-1 yrs",IF(K100&lt;2,"1-2 yrs",IF(K100&lt;3,"2-3 yrs",IF(K100&lt;5,"3-5 yrs","5+ yrs")))))</f>
        <v>3-5 yrs</v>
      </c>
      <c r="M100" s="24" t="s">
        <v>108</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1" t="n">
        <f aca="false">IF(OR(O100="",E100=""),"",EDATE(E100,12*O100))</f>
        <v>45459</v>
      </c>
      <c r="Q100" s="21"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3"/>
      <c r="W100" s="23"/>
      <c r="X100" s="23"/>
      <c r="Y100" s="8"/>
      <c r="Z100" s="10" t="n">
        <f aca="false">IF(Q100="","",IF(Q100&lt;=$B$4,N(W100)+N(X100),0))</f>
        <v>0</v>
      </c>
      <c r="AA100" s="10" t="n">
        <f aca="false">IF(OR(LEFT(N100,6)="Larger",LEFT(N100,4)="Memo"),H100,0)</f>
        <v>644</v>
      </c>
    </row>
    <row r="101" customFormat="false" ht="15" hidden="false" customHeight="false" outlineLevel="0" collapsed="false">
      <c r="A101" s="11" t="s">
        <v>41</v>
      </c>
      <c r="B101" s="12" t="str">
        <f aca="false">IFERROR(INDEX(Summary!$B$11:$B$18,MATCH($A101,Summary!$A$11:$A$18,0)),"")</f>
        <v>TX</v>
      </c>
      <c r="C101" s="11" t="s">
        <v>41</v>
      </c>
      <c r="D101" s="11" t="n">
        <v>26</v>
      </c>
      <c r="E101" s="21" t="n">
        <v>45133</v>
      </c>
      <c r="F101" s="11" t="s">
        <v>296</v>
      </c>
      <c r="G101" s="11" t="s">
        <v>297</v>
      </c>
      <c r="H101" s="10" t="n">
        <v>150</v>
      </c>
      <c r="I101" s="11"/>
      <c r="J101" s="11" t="s">
        <v>97</v>
      </c>
      <c r="K101" s="22" t="n">
        <f aca="false">IF(E101="","",($B$4-E101)/365.25)</f>
        <v>3.19780971937029</v>
      </c>
      <c r="L101" s="11" t="str">
        <f aca="false">IF(K101="","no date",IF(K101&lt;1,"0-1 yrs",IF(K101&lt;2,"1-2 yrs",IF(K101&lt;3,"2-3 yrs",IF(K101&lt;5,"3-5 yrs","5+ yrs")))))</f>
        <v>3-5 yrs</v>
      </c>
      <c r="M101" s="11" t="s">
        <v>97</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1" t="n">
        <f aca="false">IF(OR(O101="",E101=""),"",EDATE(E101,12*O101))</f>
        <v>45499</v>
      </c>
      <c r="Q101" s="21"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3"/>
      <c r="W101" s="23"/>
      <c r="X101" s="23"/>
      <c r="Y101" s="8"/>
      <c r="Z101" s="10" t="n">
        <f aca="false">IF(Q101="","",IF(Q101&lt;=$B$4,N(W101)+N(X101),0))</f>
        <v>0</v>
      </c>
      <c r="AA101" s="10" t="n">
        <f aca="false">IF(OR(LEFT(N101,6)="Larger",LEFT(N101,4)="Memo"),H101,0)</f>
        <v>0</v>
      </c>
    </row>
    <row r="102" customFormat="false" ht="15" hidden="false" customHeight="false" outlineLevel="0" collapsed="false">
      <c r="A102" s="11" t="s">
        <v>41</v>
      </c>
      <c r="B102" s="12" t="str">
        <f aca="false">IFERROR(INDEX(Summary!$B$11:$B$18,MATCH($A102,Summary!$A$11:$A$18,0)),"")</f>
        <v>TX</v>
      </c>
      <c r="C102" s="11" t="s">
        <v>41</v>
      </c>
      <c r="D102" s="11" t="n">
        <v>27</v>
      </c>
      <c r="E102" s="21" t="n">
        <v>45135</v>
      </c>
      <c r="F102" s="11" t="s">
        <v>298</v>
      </c>
      <c r="G102" s="11" t="s">
        <v>299</v>
      </c>
      <c r="H102" s="10" t="n">
        <v>150</v>
      </c>
      <c r="I102" s="11" t="s">
        <v>300</v>
      </c>
      <c r="J102" s="11" t="s">
        <v>97</v>
      </c>
      <c r="K102" s="22" t="n">
        <f aca="false">IF(E102="","",($B$4-E102)/365.25)</f>
        <v>3.19233401779603</v>
      </c>
      <c r="L102" s="11" t="str">
        <f aca="false">IF(K102="","no date",IF(K102&lt;1,"0-1 yrs",IF(K102&lt;2,"1-2 yrs",IF(K102&lt;3,"2-3 yrs",IF(K102&lt;5,"3-5 yrs","5+ yrs")))))</f>
        <v>3-5 yrs</v>
      </c>
      <c r="M102" s="11" t="s">
        <v>97</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1" t="n">
        <f aca="false">IF(OR(O102="",E102=""),"",EDATE(E102,12*O102))</f>
        <v>45501</v>
      </c>
      <c r="Q102" s="21"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3"/>
      <c r="W102" s="23"/>
      <c r="X102" s="23"/>
      <c r="Y102" s="8"/>
      <c r="Z102" s="10" t="n">
        <f aca="false">IF(Q102="","",IF(Q102&lt;=$B$4,N(W102)+N(X102),0))</f>
        <v>0</v>
      </c>
      <c r="AA102" s="10" t="n">
        <f aca="false">IF(OR(LEFT(N102,6)="Larger",LEFT(N102,4)="Memo"),H102,0)</f>
        <v>0</v>
      </c>
    </row>
    <row r="103" customFormat="false" ht="15" hidden="false" customHeight="false" outlineLevel="0" collapsed="false">
      <c r="A103" s="11" t="s">
        <v>41</v>
      </c>
      <c r="B103" s="12" t="str">
        <f aca="false">IFERROR(INDEX(Summary!$B$11:$B$18,MATCH($A103,Summary!$A$11:$A$18,0)),"")</f>
        <v>TX</v>
      </c>
      <c r="C103" s="11" t="s">
        <v>41</v>
      </c>
      <c r="D103" s="11" t="n">
        <v>28</v>
      </c>
      <c r="E103" s="21" t="n">
        <v>45232</v>
      </c>
      <c r="F103" s="11" t="s">
        <v>301</v>
      </c>
      <c r="G103" s="11" t="s">
        <v>302</v>
      </c>
      <c r="H103" s="10" t="n">
        <v>1000</v>
      </c>
      <c r="I103" s="11"/>
      <c r="J103" s="11" t="s">
        <v>97</v>
      </c>
      <c r="K103" s="22" t="n">
        <f aca="false">IF(E103="","",($B$4-E103)/365.25)</f>
        <v>2.92676249144422</v>
      </c>
      <c r="L103" s="11" t="str">
        <f aca="false">IF(K103="","no date",IF(K103&lt;1,"0-1 yrs",IF(K103&lt;2,"1-2 yrs",IF(K103&lt;3,"2-3 yrs",IF(K103&lt;5,"3-5 yrs","5+ yrs")))))</f>
        <v>2-3 yrs</v>
      </c>
      <c r="M103" s="11" t="s">
        <v>97</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1" t="n">
        <f aca="false">IF(OR(O103="",E103=""),"",EDATE(E103,12*O103))</f>
        <v>45598</v>
      </c>
      <c r="Q103" s="21"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3"/>
      <c r="W103" s="23"/>
      <c r="X103" s="23"/>
      <c r="Y103" s="8"/>
      <c r="Z103" s="10" t="n">
        <f aca="false">IF(Q103="","",IF(Q103&lt;=$B$4,N(W103)+N(X103),0))</f>
        <v>0</v>
      </c>
      <c r="AA103" s="10" t="n">
        <f aca="false">IF(OR(LEFT(N103,6)="Larger",LEFT(N103,4)="Memo"),H103,0)</f>
        <v>1000</v>
      </c>
    </row>
    <row r="104" customFormat="false" ht="15" hidden="false" customHeight="false" outlineLevel="0" collapsed="false">
      <c r="A104" s="11" t="s">
        <v>41</v>
      </c>
      <c r="B104" s="12" t="str">
        <f aca="false">IFERROR(INDEX(Summary!$B$11:$B$18,MATCH($A104,Summary!$A$11:$A$18,0)),"")</f>
        <v>TX</v>
      </c>
      <c r="C104" s="11" t="s">
        <v>41</v>
      </c>
      <c r="D104" s="11" t="n">
        <v>29</v>
      </c>
      <c r="E104" s="21" t="n">
        <v>45280</v>
      </c>
      <c r="F104" s="11" t="s">
        <v>303</v>
      </c>
      <c r="G104" s="11" t="s">
        <v>304</v>
      </c>
      <c r="H104" s="10" t="n">
        <v>60</v>
      </c>
      <c r="I104" s="11" t="s">
        <v>305</v>
      </c>
      <c r="J104" s="11" t="s">
        <v>97</v>
      </c>
      <c r="K104" s="22" t="n">
        <f aca="false">IF(E104="","",($B$4-E104)/365.25)</f>
        <v>2.79534565366188</v>
      </c>
      <c r="L104" s="11" t="str">
        <f aca="false">IF(K104="","no date",IF(K104&lt;1,"0-1 yrs",IF(K104&lt;2,"1-2 yrs",IF(K104&lt;3,"2-3 yrs",IF(K104&lt;5,"3-5 yrs","5+ yrs")))))</f>
        <v>2-3 yrs</v>
      </c>
      <c r="M104" s="11" t="s">
        <v>97</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1" t="n">
        <f aca="false">IF(OR(O104="",E104=""),"",EDATE(E104,12*O104))</f>
        <v>45646</v>
      </c>
      <c r="Q104" s="21"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3"/>
      <c r="W104" s="23"/>
      <c r="X104" s="23"/>
      <c r="Y104" s="8"/>
      <c r="Z104" s="10" t="n">
        <f aca="false">IF(Q104="","",IF(Q104&lt;=$B$4,N(W104)+N(X104),0))</f>
        <v>0</v>
      </c>
      <c r="AA104" s="10" t="n">
        <f aca="false">IF(OR(LEFT(N104,6)="Larger",LEFT(N104,4)="Memo"),H104,0)</f>
        <v>0</v>
      </c>
    </row>
    <row r="105" customFormat="false" ht="15" hidden="false" customHeight="false" outlineLevel="0" collapsed="false">
      <c r="A105" s="11" t="s">
        <v>41</v>
      </c>
      <c r="B105" s="12" t="str">
        <f aca="false">IFERROR(INDEX(Summary!$B$11:$B$18,MATCH($A105,Summary!$A$11:$A$18,0)),"")</f>
        <v>TX</v>
      </c>
      <c r="C105" s="11" t="s">
        <v>41</v>
      </c>
      <c r="D105" s="11" t="n">
        <v>30</v>
      </c>
      <c r="E105" s="21" t="n">
        <v>45343</v>
      </c>
      <c r="F105" s="11" t="s">
        <v>306</v>
      </c>
      <c r="G105" s="11" t="s">
        <v>237</v>
      </c>
      <c r="H105" s="10" t="n">
        <v>644</v>
      </c>
      <c r="I105" s="11"/>
      <c r="J105" s="11" t="s">
        <v>97</v>
      </c>
      <c r="K105" s="22" t="n">
        <f aca="false">IF(E105="","",($B$4-E105)/365.25)</f>
        <v>2.62286105407255</v>
      </c>
      <c r="L105" s="11" t="str">
        <f aca="false">IF(K105="","no date",IF(K105&lt;1,"0-1 yrs",IF(K105&lt;2,"1-2 yrs",IF(K105&lt;3,"2-3 yrs",IF(K105&lt;5,"3-5 yrs","5+ yrs")))))</f>
        <v>2-3 yrs</v>
      </c>
      <c r="M105" s="11" t="s">
        <v>97</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1" t="n">
        <f aca="false">IF(OR(O105="",E105=""),"",EDATE(E105,12*O105))</f>
        <v>45709</v>
      </c>
      <c r="Q105" s="21"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3"/>
      <c r="W105" s="23"/>
      <c r="X105" s="23"/>
      <c r="Y105" s="8"/>
      <c r="Z105" s="10" t="n">
        <f aca="false">IF(Q105="","",IF(Q105&lt;=$B$4,N(W105)+N(X105),0))</f>
        <v>0</v>
      </c>
      <c r="AA105" s="10" t="n">
        <f aca="false">IF(OR(LEFT(N105,6)="Larger",LEFT(N105,4)="Memo"),H105,0)</f>
        <v>0</v>
      </c>
    </row>
    <row r="106" customFormat="false" ht="15" hidden="false" customHeight="false" outlineLevel="0" collapsed="false">
      <c r="A106" s="11" t="s">
        <v>41</v>
      </c>
      <c r="B106" s="12" t="str">
        <f aca="false">IFERROR(INDEX(Summary!$B$11:$B$18,MATCH($A106,Summary!$A$11:$A$18,0)),"")</f>
        <v>TX</v>
      </c>
      <c r="C106" s="11" t="s">
        <v>41</v>
      </c>
      <c r="D106" s="11" t="n">
        <v>31</v>
      </c>
      <c r="E106" s="21" t="n">
        <v>45345</v>
      </c>
      <c r="F106" s="11" t="s">
        <v>307</v>
      </c>
      <c r="G106" s="11"/>
      <c r="H106" s="10" t="n">
        <v>729.5</v>
      </c>
      <c r="I106" s="11" t="s">
        <v>308</v>
      </c>
      <c r="J106" s="11" t="s">
        <v>97</v>
      </c>
      <c r="K106" s="22" t="n">
        <f aca="false">IF(E106="","",($B$4-E106)/365.25)</f>
        <v>2.61738535249829</v>
      </c>
      <c r="L106" s="11" t="str">
        <f aca="false">IF(K106="","no date",IF(K106&lt;1,"0-1 yrs",IF(K106&lt;2,"1-2 yrs",IF(K106&lt;3,"2-3 yrs",IF(K106&lt;5,"3-5 yrs","5+ yrs")))))</f>
        <v>2-3 yrs</v>
      </c>
      <c r="M106" s="11" t="s">
        <v>97</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1" t="n">
        <f aca="false">IF(OR(O106="",E106=""),"",EDATE(E106,12*O106))</f>
        <v>45711</v>
      </c>
      <c r="Q106" s="21"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3"/>
      <c r="W106" s="23"/>
      <c r="X106" s="23"/>
      <c r="Y106" s="8"/>
      <c r="Z106" s="10" t="n">
        <f aca="false">IF(Q106="","",IF(Q106&lt;=$B$4,N(W106)+N(X106),0))</f>
        <v>0</v>
      </c>
      <c r="AA106" s="10" t="n">
        <f aca="false">IF(OR(LEFT(N106,6)="Larger",LEFT(N106,4)="Memo"),H106,0)</f>
        <v>729.5</v>
      </c>
    </row>
    <row r="107" customFormat="false" ht="15" hidden="false" customHeight="false" outlineLevel="0" collapsed="false">
      <c r="A107" s="11" t="s">
        <v>41</v>
      </c>
      <c r="B107" s="12" t="str">
        <f aca="false">IFERROR(INDEX(Summary!$B$11:$B$18,MATCH($A107,Summary!$A$11:$A$18,0)),"")</f>
        <v>TX</v>
      </c>
      <c r="C107" s="11" t="s">
        <v>41</v>
      </c>
      <c r="D107" s="11" t="n">
        <v>32</v>
      </c>
      <c r="E107" s="21" t="n">
        <v>45370</v>
      </c>
      <c r="F107" s="11" t="s">
        <v>309</v>
      </c>
      <c r="G107" s="11" t="s">
        <v>221</v>
      </c>
      <c r="H107" s="10" t="n">
        <v>1000</v>
      </c>
      <c r="I107" s="11"/>
      <c r="J107" s="11" t="s">
        <v>97</v>
      </c>
      <c r="K107" s="22" t="n">
        <f aca="false">IF(E107="","",($B$4-E107)/365.25)</f>
        <v>2.54893908281999</v>
      </c>
      <c r="L107" s="11" t="str">
        <f aca="false">IF(K107="","no date",IF(K107&lt;1,"0-1 yrs",IF(K107&lt;2,"1-2 yrs",IF(K107&lt;3,"2-3 yrs",IF(K107&lt;5,"3-5 yrs","5+ yrs")))))</f>
        <v>2-3 yrs</v>
      </c>
      <c r="M107" s="11" t="s">
        <v>97</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1" t="n">
        <f aca="false">IF(OR(O107="",E107=""),"",EDATE(E107,12*O107))</f>
        <v>45735</v>
      </c>
      <c r="Q107" s="21"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3"/>
      <c r="W107" s="23"/>
      <c r="X107" s="23"/>
      <c r="Y107" s="8"/>
      <c r="Z107" s="10" t="n">
        <f aca="false">IF(Q107="","",IF(Q107&lt;=$B$4,N(W107)+N(X107),0))</f>
        <v>0</v>
      </c>
      <c r="AA107" s="10" t="n">
        <f aca="false">IF(OR(LEFT(N107,6)="Larger",LEFT(N107,4)="Memo"),H107,0)</f>
        <v>1000</v>
      </c>
    </row>
    <row r="108" customFormat="false" ht="15" hidden="false" customHeight="false" outlineLevel="0" collapsed="false">
      <c r="A108" s="11" t="s">
        <v>41</v>
      </c>
      <c r="B108" s="12" t="str">
        <f aca="false">IFERROR(INDEX(Summary!$B$11:$B$18,MATCH($A108,Summary!$A$11:$A$18,0)),"")</f>
        <v>TX</v>
      </c>
      <c r="C108" s="11" t="s">
        <v>41</v>
      </c>
      <c r="D108" s="11" t="n">
        <v>33</v>
      </c>
      <c r="E108" s="21" t="n">
        <v>45388</v>
      </c>
      <c r="F108" s="11" t="s">
        <v>310</v>
      </c>
      <c r="G108" s="11" t="s">
        <v>311</v>
      </c>
      <c r="H108" s="10" t="n">
        <v>250</v>
      </c>
      <c r="I108" s="11"/>
      <c r="J108" s="11" t="s">
        <v>97</v>
      </c>
      <c r="K108" s="22" t="n">
        <f aca="false">IF(E108="","",($B$4-E108)/365.25)</f>
        <v>2.49965776865161</v>
      </c>
      <c r="L108" s="11" t="str">
        <f aca="false">IF(K108="","no date",IF(K108&lt;1,"0-1 yrs",IF(K108&lt;2,"1-2 yrs",IF(K108&lt;3,"2-3 yrs",IF(K108&lt;5,"3-5 yrs","5+ yrs")))))</f>
        <v>2-3 yrs</v>
      </c>
      <c r="M108" s="11" t="s">
        <v>97</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1" t="n">
        <f aca="false">IF(OR(O108="",E108=""),"",EDATE(E108,12*O108))</f>
        <v>45753</v>
      </c>
      <c r="Q108" s="21"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3"/>
      <c r="W108" s="23"/>
      <c r="X108" s="23"/>
      <c r="Y108" s="8"/>
      <c r="Z108" s="10" t="n">
        <f aca="false">IF(Q108="","",IF(Q108&lt;=$B$4,N(W108)+N(X108),0))</f>
        <v>0</v>
      </c>
      <c r="AA108" s="10" t="n">
        <f aca="false">IF(OR(LEFT(N108,6)="Larger",LEFT(N108,4)="Memo"),H108,0)</f>
        <v>0</v>
      </c>
    </row>
    <row r="109" customFormat="false" ht="15" hidden="false" customHeight="false" outlineLevel="0" collapsed="false">
      <c r="A109" s="11" t="s">
        <v>41</v>
      </c>
      <c r="B109" s="12" t="str">
        <f aca="false">IFERROR(INDEX(Summary!$B$11:$B$18,MATCH($A109,Summary!$A$11:$A$18,0)),"")</f>
        <v>TX</v>
      </c>
      <c r="C109" s="11" t="s">
        <v>41</v>
      </c>
      <c r="D109" s="11" t="n">
        <v>34</v>
      </c>
      <c r="E109" s="21" t="n">
        <v>45418</v>
      </c>
      <c r="F109" s="11" t="s">
        <v>312</v>
      </c>
      <c r="G109" s="11" t="s">
        <v>304</v>
      </c>
      <c r="H109" s="10" t="n">
        <v>60</v>
      </c>
      <c r="I109" s="11" t="s">
        <v>305</v>
      </c>
      <c r="J109" s="11" t="s">
        <v>97</v>
      </c>
      <c r="K109" s="22" t="n">
        <f aca="false">IF(E109="","",($B$4-E109)/365.25)</f>
        <v>2.41752224503765</v>
      </c>
      <c r="L109" s="11" t="str">
        <f aca="false">IF(K109="","no date",IF(K109&lt;1,"0-1 yrs",IF(K109&lt;2,"1-2 yrs",IF(K109&lt;3,"2-3 yrs",IF(K109&lt;5,"3-5 yrs","5+ yrs")))))</f>
        <v>2-3 yrs</v>
      </c>
      <c r="M109" s="11" t="s">
        <v>97</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1" t="n">
        <f aca="false">IF(OR(O109="",E109=""),"",EDATE(E109,12*O109))</f>
        <v>45783</v>
      </c>
      <c r="Q109" s="21"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3"/>
      <c r="W109" s="23"/>
      <c r="X109" s="23"/>
      <c r="Y109" s="8"/>
      <c r="Z109" s="10" t="n">
        <f aca="false">IF(Q109="","",IF(Q109&lt;=$B$4,N(W109)+N(X109),0))</f>
        <v>0</v>
      </c>
      <c r="AA109" s="10" t="n">
        <f aca="false">IF(OR(LEFT(N109,6)="Larger",LEFT(N109,4)="Memo"),H109,0)</f>
        <v>0</v>
      </c>
    </row>
    <row r="110" customFormat="false" ht="15" hidden="false" customHeight="false" outlineLevel="0" collapsed="false">
      <c r="A110" s="11" t="s">
        <v>41</v>
      </c>
      <c r="B110" s="12" t="str">
        <f aca="false">IFERROR(INDEX(Summary!$B$11:$B$18,MATCH($A110,Summary!$A$11:$A$18,0)),"")</f>
        <v>TX</v>
      </c>
      <c r="C110" s="11" t="s">
        <v>41</v>
      </c>
      <c r="D110" s="11" t="n">
        <v>35</v>
      </c>
      <c r="E110" s="21" t="n">
        <v>45454</v>
      </c>
      <c r="F110" s="11" t="s">
        <v>313</v>
      </c>
      <c r="G110" s="11" t="s">
        <v>237</v>
      </c>
      <c r="H110" s="10" t="n">
        <v>644</v>
      </c>
      <c r="I110" s="11"/>
      <c r="J110" s="11" t="s">
        <v>97</v>
      </c>
      <c r="K110" s="22" t="n">
        <f aca="false">IF(E110="","",($B$4-E110)/365.25)</f>
        <v>2.31895961670089</v>
      </c>
      <c r="L110" s="11" t="str">
        <f aca="false">IF(K110="","no date",IF(K110&lt;1,"0-1 yrs",IF(K110&lt;2,"1-2 yrs",IF(K110&lt;3,"2-3 yrs",IF(K110&lt;5,"3-5 yrs","5+ yrs")))))</f>
        <v>2-3 yrs</v>
      </c>
      <c r="M110" s="11" t="s">
        <v>97</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1" t="n">
        <f aca="false">IF(OR(O110="",E110=""),"",EDATE(E110,12*O110))</f>
        <v>45819</v>
      </c>
      <c r="Q110" s="21"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3"/>
      <c r="W110" s="23"/>
      <c r="X110" s="23"/>
      <c r="Y110" s="8"/>
      <c r="Z110" s="10" t="n">
        <f aca="false">IF(Q110="","",IF(Q110&lt;=$B$4,N(W110)+N(X110),0))</f>
        <v>0</v>
      </c>
      <c r="AA110" s="10" t="n">
        <f aca="false">IF(OR(LEFT(N110,6)="Larger",LEFT(N110,4)="Memo"),H110,0)</f>
        <v>0</v>
      </c>
    </row>
    <row r="111" customFormat="false" ht="15" hidden="false" customHeight="false" outlineLevel="0" collapsed="false">
      <c r="A111" s="11" t="s">
        <v>41</v>
      </c>
      <c r="B111" s="12" t="str">
        <f aca="false">IFERROR(INDEX(Summary!$B$11:$B$18,MATCH($A111,Summary!$A$11:$A$18,0)),"")</f>
        <v>TX</v>
      </c>
      <c r="C111" s="11" t="s">
        <v>41</v>
      </c>
      <c r="D111" s="11" t="n">
        <v>36</v>
      </c>
      <c r="E111" s="21" t="n">
        <v>45469</v>
      </c>
      <c r="F111" s="11" t="s">
        <v>314</v>
      </c>
      <c r="G111" s="11" t="s">
        <v>237</v>
      </c>
      <c r="H111" s="10" t="n">
        <v>644</v>
      </c>
      <c r="I111" s="11"/>
      <c r="J111" s="11" t="s">
        <v>97</v>
      </c>
      <c r="K111" s="22" t="n">
        <f aca="false">IF(E111="","",($B$4-E111)/365.25)</f>
        <v>2.27789185489391</v>
      </c>
      <c r="L111" s="11" t="str">
        <f aca="false">IF(K111="","no date",IF(K111&lt;1,"0-1 yrs",IF(K111&lt;2,"1-2 yrs",IF(K111&lt;3,"2-3 yrs",IF(K111&lt;5,"3-5 yrs","5+ yrs")))))</f>
        <v>2-3 yrs</v>
      </c>
      <c r="M111" s="11" t="s">
        <v>97</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1" t="n">
        <f aca="false">IF(OR(O111="",E111=""),"",EDATE(E111,12*O111))</f>
        <v>45834</v>
      </c>
      <c r="Q111" s="21"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3"/>
      <c r="W111" s="23"/>
      <c r="X111" s="23"/>
      <c r="Y111" s="8"/>
      <c r="Z111" s="10" t="n">
        <f aca="false">IF(Q111="","",IF(Q111&lt;=$B$4,N(W111)+N(X111),0))</f>
        <v>0</v>
      </c>
      <c r="AA111" s="10" t="n">
        <f aca="false">IF(OR(LEFT(N111,6)="Larger",LEFT(N111,4)="Memo"),H111,0)</f>
        <v>0</v>
      </c>
    </row>
    <row r="112" customFormat="false" ht="15" hidden="false" customHeight="false" outlineLevel="0" collapsed="false">
      <c r="A112" s="11" t="s">
        <v>41</v>
      </c>
      <c r="B112" s="12" t="str">
        <f aca="false">IFERROR(INDEX(Summary!$B$11:$B$18,MATCH($A112,Summary!$A$11:$A$18,0)),"")</f>
        <v>TX</v>
      </c>
      <c r="C112" s="11" t="s">
        <v>41</v>
      </c>
      <c r="D112" s="11" t="n">
        <v>37</v>
      </c>
      <c r="E112" s="21" t="n">
        <v>45491</v>
      </c>
      <c r="F112" s="11" t="s">
        <v>315</v>
      </c>
      <c r="G112" s="11" t="s">
        <v>316</v>
      </c>
      <c r="H112" s="10" t="n">
        <v>644</v>
      </c>
      <c r="I112" s="11"/>
      <c r="J112" s="11" t="s">
        <v>97</v>
      </c>
      <c r="K112" s="22" t="n">
        <f aca="false">IF(E112="","",($B$4-E112)/365.25)</f>
        <v>2.217659137577</v>
      </c>
      <c r="L112" s="11" t="str">
        <f aca="false">IF(K112="","no date",IF(K112&lt;1,"0-1 yrs",IF(K112&lt;2,"1-2 yrs",IF(K112&lt;3,"2-3 yrs",IF(K112&lt;5,"3-5 yrs","5+ yrs")))))</f>
        <v>2-3 yrs</v>
      </c>
      <c r="M112" s="11" t="s">
        <v>97</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1" t="n">
        <f aca="false">IF(OR(O112="",E112=""),"",EDATE(E112,12*O112))</f>
        <v>45856</v>
      </c>
      <c r="Q112" s="21"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3"/>
      <c r="W112" s="23"/>
      <c r="X112" s="23"/>
      <c r="Y112" s="8"/>
      <c r="Z112" s="10" t="n">
        <f aca="false">IF(Q112="","",IF(Q112&lt;=$B$4,N(W112)+N(X112),0))</f>
        <v>0</v>
      </c>
      <c r="AA112" s="10" t="n">
        <f aca="false">IF(OR(LEFT(N112,6)="Larger",LEFT(N112,4)="Memo"),H112,0)</f>
        <v>0</v>
      </c>
    </row>
    <row r="113" customFormat="false" ht="15" hidden="false" customHeight="false" outlineLevel="0" collapsed="false">
      <c r="A113" s="11" t="s">
        <v>41</v>
      </c>
      <c r="B113" s="12" t="str">
        <f aca="false">IFERROR(INDEX(Summary!$B$11:$B$18,MATCH($A113,Summary!$A$11:$A$18,0)),"")</f>
        <v>TX</v>
      </c>
      <c r="C113" s="11" t="s">
        <v>41</v>
      </c>
      <c r="D113" s="11" t="n">
        <v>38</v>
      </c>
      <c r="E113" s="21" t="n">
        <v>45495</v>
      </c>
      <c r="F113" s="11" t="s">
        <v>317</v>
      </c>
      <c r="G113" s="11" t="s">
        <v>316</v>
      </c>
      <c r="H113" s="10" t="n">
        <v>644</v>
      </c>
      <c r="I113" s="11"/>
      <c r="J113" s="11" t="s">
        <v>97</v>
      </c>
      <c r="K113" s="22" t="n">
        <f aca="false">IF(E113="","",($B$4-E113)/365.25)</f>
        <v>2.20670773442847</v>
      </c>
      <c r="L113" s="11" t="str">
        <f aca="false">IF(K113="","no date",IF(K113&lt;1,"0-1 yrs",IF(K113&lt;2,"1-2 yrs",IF(K113&lt;3,"2-3 yrs",IF(K113&lt;5,"3-5 yrs","5+ yrs")))))</f>
        <v>2-3 yrs</v>
      </c>
      <c r="M113" s="11" t="s">
        <v>97</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1" t="n">
        <f aca="false">IF(OR(O113="",E113=""),"",EDATE(E113,12*O113))</f>
        <v>45860</v>
      </c>
      <c r="Q113" s="21"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3"/>
      <c r="W113" s="23"/>
      <c r="X113" s="23"/>
      <c r="Y113" s="8"/>
      <c r="Z113" s="10" t="n">
        <f aca="false">IF(Q113="","",IF(Q113&lt;=$B$4,N(W113)+N(X113),0))</f>
        <v>0</v>
      </c>
      <c r="AA113" s="10" t="n">
        <f aca="false">IF(OR(LEFT(N113,6)="Larger",LEFT(N113,4)="Memo"),H113,0)</f>
        <v>0</v>
      </c>
    </row>
    <row r="114" customFormat="false" ht="15" hidden="false" customHeight="false" outlineLevel="0" collapsed="false">
      <c r="A114" s="11" t="s">
        <v>41</v>
      </c>
      <c r="B114" s="12" t="str">
        <f aca="false">IFERROR(INDEX(Summary!$B$11:$B$18,MATCH($A114,Summary!$A$11:$A$18,0)),"")</f>
        <v>TX</v>
      </c>
      <c r="C114" s="11" t="s">
        <v>41</v>
      </c>
      <c r="D114" s="11" t="n">
        <v>39</v>
      </c>
      <c r="E114" s="21" t="n">
        <v>45502</v>
      </c>
      <c r="F114" s="11" t="s">
        <v>318</v>
      </c>
      <c r="G114" s="11" t="s">
        <v>319</v>
      </c>
      <c r="H114" s="10" t="n">
        <v>2819.94</v>
      </c>
      <c r="I114" s="11"/>
      <c r="J114" s="11" t="s">
        <v>97</v>
      </c>
      <c r="K114" s="22" t="n">
        <f aca="false">IF(E114="","",($B$4-E114)/365.25)</f>
        <v>2.18754277891855</v>
      </c>
      <c r="L114" s="11" t="str">
        <f aca="false">IF(K114="","no date",IF(K114&lt;1,"0-1 yrs",IF(K114&lt;2,"1-2 yrs",IF(K114&lt;3,"2-3 yrs",IF(K114&lt;5,"3-5 yrs","5+ yrs")))))</f>
        <v>2-3 yrs</v>
      </c>
      <c r="M114" s="11" t="s">
        <v>97</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1" t="n">
        <f aca="false">IF(OR(O114="",E114=""),"",EDATE(E114,12*O114))</f>
        <v>45867</v>
      </c>
      <c r="Q114" s="21"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3"/>
      <c r="W114" s="23"/>
      <c r="X114" s="23"/>
      <c r="Y114" s="8"/>
      <c r="Z114" s="10" t="n">
        <f aca="false">IF(Q114="","",IF(Q114&lt;=$B$4,N(W114)+N(X114),0))</f>
        <v>0</v>
      </c>
      <c r="AA114" s="10" t="n">
        <f aca="false">IF(OR(LEFT(N114,6)="Larger",LEFT(N114,4)="Memo"),H114,0)</f>
        <v>2819.94</v>
      </c>
    </row>
    <row r="115" customFormat="false" ht="15" hidden="false" customHeight="false" outlineLevel="0" collapsed="false">
      <c r="A115" s="11" t="s">
        <v>41</v>
      </c>
      <c r="B115" s="12" t="str">
        <f aca="false">IFERROR(INDEX(Summary!$B$11:$B$18,MATCH($A115,Summary!$A$11:$A$18,0)),"")</f>
        <v>TX</v>
      </c>
      <c r="C115" s="11" t="s">
        <v>41</v>
      </c>
      <c r="D115" s="11" t="n">
        <v>40</v>
      </c>
      <c r="E115" s="21" t="n">
        <v>45506</v>
      </c>
      <c r="F115" s="11" t="s">
        <v>320</v>
      </c>
      <c r="G115" s="11" t="s">
        <v>321</v>
      </c>
      <c r="H115" s="10" t="n">
        <v>500</v>
      </c>
      <c r="I115" s="11" t="s">
        <v>321</v>
      </c>
      <c r="J115" s="11" t="s">
        <v>97</v>
      </c>
      <c r="K115" s="22" t="n">
        <f aca="false">IF(E115="","",($B$4-E115)/365.25)</f>
        <v>2.17659137577002</v>
      </c>
      <c r="L115" s="11" t="str">
        <f aca="false">IF(K115="","no date",IF(K115&lt;1,"0-1 yrs",IF(K115&lt;2,"1-2 yrs",IF(K115&lt;3,"2-3 yrs",IF(K115&lt;5,"3-5 yrs","5+ yrs")))))</f>
        <v>2-3 yrs</v>
      </c>
      <c r="M115" s="11" t="s">
        <v>97</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1" t="n">
        <f aca="false">IF(OR(O115="",E115=""),"",EDATE(E115,12*O115))</f>
        <v>45871</v>
      </c>
      <c r="Q115" s="21"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3"/>
      <c r="W115" s="23"/>
      <c r="X115" s="23"/>
      <c r="Y115" s="8"/>
      <c r="Z115" s="10" t="n">
        <f aca="false">IF(Q115="","",IF(Q115&lt;=$B$4,N(W115)+N(X115),0))</f>
        <v>0</v>
      </c>
      <c r="AA115" s="10" t="n">
        <f aca="false">IF(OR(LEFT(N115,6)="Larger",LEFT(N115,4)="Memo"),H115,0)</f>
        <v>500</v>
      </c>
    </row>
    <row r="116" customFormat="false" ht="15" hidden="false" customHeight="false" outlineLevel="0" collapsed="false">
      <c r="A116" s="11" t="s">
        <v>41</v>
      </c>
      <c r="B116" s="12" t="str">
        <f aca="false">IFERROR(INDEX(Summary!$B$11:$B$18,MATCH($A116,Summary!$A$11:$A$18,0)),"")</f>
        <v>TX</v>
      </c>
      <c r="C116" s="11" t="s">
        <v>41</v>
      </c>
      <c r="D116" s="11" t="n">
        <v>41</v>
      </c>
      <c r="E116" s="21" t="n">
        <v>45518</v>
      </c>
      <c r="F116" s="11" t="s">
        <v>322</v>
      </c>
      <c r="G116" s="11"/>
      <c r="H116" s="10" t="n">
        <v>1100</v>
      </c>
      <c r="I116" s="11" t="s">
        <v>323</v>
      </c>
      <c r="J116" s="11" t="s">
        <v>97</v>
      </c>
      <c r="K116" s="22" t="n">
        <f aca="false">IF(E116="","",($B$4-E116)/365.25)</f>
        <v>2.14373716632444</v>
      </c>
      <c r="L116" s="11" t="str">
        <f aca="false">IF(K116="","no date",IF(K116&lt;1,"0-1 yrs",IF(K116&lt;2,"1-2 yrs",IF(K116&lt;3,"2-3 yrs",IF(K116&lt;5,"3-5 yrs","5+ yrs")))))</f>
        <v>2-3 yrs</v>
      </c>
      <c r="M116" s="11" t="s">
        <v>97</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1" t="n">
        <f aca="false">IF(OR(O116="",E116=""),"",EDATE(E116,12*O116))</f>
        <v>45883</v>
      </c>
      <c r="Q116" s="21"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3"/>
      <c r="W116" s="23"/>
      <c r="X116" s="23"/>
      <c r="Y116" s="8"/>
      <c r="Z116" s="10" t="n">
        <f aca="false">IF(Q116="","",IF(Q116&lt;=$B$4,N(W116)+N(X116),0))</f>
        <v>0</v>
      </c>
      <c r="AA116" s="10" t="n">
        <f aca="false">IF(OR(LEFT(N116,6)="Larger",LEFT(N116,4)="Memo"),H116,0)</f>
        <v>1100</v>
      </c>
    </row>
    <row r="117" customFormat="false" ht="15" hidden="false" customHeight="false" outlineLevel="0" collapsed="false">
      <c r="A117" s="11" t="s">
        <v>41</v>
      </c>
      <c r="B117" s="12" t="str">
        <f aca="false">IFERROR(INDEX(Summary!$B$11:$B$18,MATCH($A117,Summary!$A$11:$A$18,0)),"")</f>
        <v>TX</v>
      </c>
      <c r="C117" s="11" t="s">
        <v>41</v>
      </c>
      <c r="D117" s="11" t="n">
        <v>42</v>
      </c>
      <c r="E117" s="21" t="n">
        <v>45524</v>
      </c>
      <c r="F117" s="11" t="s">
        <v>324</v>
      </c>
      <c r="G117" s="11"/>
      <c r="H117" s="10" t="n">
        <v>1074.5</v>
      </c>
      <c r="I117" s="11" t="s">
        <v>325</v>
      </c>
      <c r="J117" s="11" t="s">
        <v>97</v>
      </c>
      <c r="K117" s="22" t="n">
        <f aca="false">IF(E117="","",($B$4-E117)/365.25)</f>
        <v>2.12731006160164</v>
      </c>
      <c r="L117" s="11" t="str">
        <f aca="false">IF(K117="","no date",IF(K117&lt;1,"0-1 yrs",IF(K117&lt;2,"1-2 yrs",IF(K117&lt;3,"2-3 yrs",IF(K117&lt;5,"3-5 yrs","5+ yrs")))))</f>
        <v>2-3 yrs</v>
      </c>
      <c r="M117" s="11" t="s">
        <v>97</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1" t="n">
        <f aca="false">IF(OR(O117="",E117=""),"",EDATE(E117,12*O117))</f>
        <v>45889</v>
      </c>
      <c r="Q117" s="21"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3"/>
      <c r="W117" s="23"/>
      <c r="X117" s="23"/>
      <c r="Y117" s="8"/>
      <c r="Z117" s="10" t="n">
        <f aca="false">IF(Q117="","",IF(Q117&lt;=$B$4,N(W117)+N(X117),0))</f>
        <v>0</v>
      </c>
      <c r="AA117" s="10" t="n">
        <f aca="false">IF(OR(LEFT(N117,6)="Larger",LEFT(N117,4)="Memo"),H117,0)</f>
        <v>1074.5</v>
      </c>
    </row>
    <row r="118" customFormat="false" ht="15" hidden="false" customHeight="false" outlineLevel="0" collapsed="false">
      <c r="A118" s="11" t="s">
        <v>41</v>
      </c>
      <c r="B118" s="12" t="str">
        <f aca="false">IFERROR(INDEX(Summary!$B$11:$B$18,MATCH($A118,Summary!$A$11:$A$18,0)),"")</f>
        <v>TX</v>
      </c>
      <c r="C118" s="11" t="s">
        <v>41</v>
      </c>
      <c r="D118" s="11" t="n">
        <v>43</v>
      </c>
      <c r="E118" s="21" t="n">
        <v>45539</v>
      </c>
      <c r="F118" s="11" t="s">
        <v>326</v>
      </c>
      <c r="G118" s="11" t="s">
        <v>221</v>
      </c>
      <c r="H118" s="10" t="n">
        <v>250</v>
      </c>
      <c r="I118" s="11"/>
      <c r="J118" s="11" t="s">
        <v>97</v>
      </c>
      <c r="K118" s="22" t="n">
        <f aca="false">IF(E118="","",($B$4-E118)/365.25)</f>
        <v>2.08624229979466</v>
      </c>
      <c r="L118" s="11" t="str">
        <f aca="false">IF(K118="","no date",IF(K118&lt;1,"0-1 yrs",IF(K118&lt;2,"1-2 yrs",IF(K118&lt;3,"2-3 yrs",IF(K118&lt;5,"3-5 yrs","5+ yrs")))))</f>
        <v>2-3 yrs</v>
      </c>
      <c r="M118" s="11" t="s">
        <v>97</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1" t="n">
        <f aca="false">IF(OR(O118="",E118=""),"",EDATE(E118,12*O118))</f>
        <v>45904</v>
      </c>
      <c r="Q118" s="21"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3"/>
      <c r="W118" s="23"/>
      <c r="X118" s="23"/>
      <c r="Y118" s="8"/>
      <c r="Z118" s="10" t="n">
        <f aca="false">IF(Q118="","",IF(Q118&lt;=$B$4,N(W118)+N(X118),0))</f>
        <v>0</v>
      </c>
      <c r="AA118" s="10" t="n">
        <f aca="false">IF(OR(LEFT(N118,6)="Larger",LEFT(N118,4)="Memo"),H118,0)</f>
        <v>0</v>
      </c>
    </row>
    <row r="119" customFormat="false" ht="15" hidden="false" customHeight="false" outlineLevel="0" collapsed="false">
      <c r="A119" s="11" t="s">
        <v>41</v>
      </c>
      <c r="B119" s="12" t="str">
        <f aca="false">IFERROR(INDEX(Summary!$B$11:$B$18,MATCH($A119,Summary!$A$11:$A$18,0)),"")</f>
        <v>TX</v>
      </c>
      <c r="C119" s="11" t="s">
        <v>41</v>
      </c>
      <c r="D119" s="11" t="n">
        <v>44</v>
      </c>
      <c r="E119" s="21" t="n">
        <v>45545</v>
      </c>
      <c r="F119" s="11" t="s">
        <v>327</v>
      </c>
      <c r="G119" s="11" t="s">
        <v>328</v>
      </c>
      <c r="H119" s="10" t="n">
        <v>250</v>
      </c>
      <c r="I119" s="11" t="s">
        <v>329</v>
      </c>
      <c r="J119" s="11" t="s">
        <v>97</v>
      </c>
      <c r="K119" s="22" t="n">
        <f aca="false">IF(E119="","",($B$4-E119)/365.25)</f>
        <v>2.06981519507187</v>
      </c>
      <c r="L119" s="11" t="str">
        <f aca="false">IF(K119="","no date",IF(K119&lt;1,"0-1 yrs",IF(K119&lt;2,"1-2 yrs",IF(K119&lt;3,"2-3 yrs",IF(K119&lt;5,"3-5 yrs","5+ yrs")))))</f>
        <v>2-3 yrs</v>
      </c>
      <c r="M119" s="11" t="s">
        <v>97</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1" t="n">
        <f aca="false">IF(OR(O119="",E119=""),"",EDATE(E119,12*O119))</f>
        <v>45910</v>
      </c>
      <c r="Q119" s="21"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3"/>
      <c r="W119" s="23"/>
      <c r="X119" s="23"/>
      <c r="Y119" s="8"/>
      <c r="Z119" s="10" t="n">
        <f aca="false">IF(Q119="","",IF(Q119&lt;=$B$4,N(W119)+N(X119),0))</f>
        <v>0</v>
      </c>
      <c r="AA119" s="10" t="n">
        <f aca="false">IF(OR(LEFT(N119,6)="Larger",LEFT(N119,4)="Memo"),H119,0)</f>
        <v>0</v>
      </c>
    </row>
    <row r="120" customFormat="false" ht="15" hidden="false" customHeight="false" outlineLevel="0" collapsed="false">
      <c r="A120" s="11" t="s">
        <v>41</v>
      </c>
      <c r="B120" s="12" t="str">
        <f aca="false">IFERROR(INDEX(Summary!$B$11:$B$18,MATCH($A120,Summary!$A$11:$A$18,0)),"")</f>
        <v>TX</v>
      </c>
      <c r="C120" s="11" t="s">
        <v>41</v>
      </c>
      <c r="D120" s="11" t="n">
        <v>45</v>
      </c>
      <c r="E120" s="21" t="n">
        <v>45547</v>
      </c>
      <c r="F120" s="11" t="s">
        <v>330</v>
      </c>
      <c r="G120" s="11"/>
      <c r="H120" s="10" t="n">
        <v>300</v>
      </c>
      <c r="I120" s="11" t="s">
        <v>331</v>
      </c>
      <c r="J120" s="11" t="s">
        <v>97</v>
      </c>
      <c r="K120" s="22" t="n">
        <f aca="false">IF(E120="","",($B$4-E120)/365.25)</f>
        <v>2.0643394934976</v>
      </c>
      <c r="L120" s="11" t="str">
        <f aca="false">IF(K120="","no date",IF(K120&lt;1,"0-1 yrs",IF(K120&lt;2,"1-2 yrs",IF(K120&lt;3,"2-3 yrs",IF(K120&lt;5,"3-5 yrs","5+ yrs")))))</f>
        <v>2-3 yrs</v>
      </c>
      <c r="M120" s="11" t="s">
        <v>97</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1" t="n">
        <f aca="false">IF(OR(O120="",E120=""),"",EDATE(E120,12*O120))</f>
        <v>45912</v>
      </c>
      <c r="Q120" s="21"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3"/>
      <c r="W120" s="23"/>
      <c r="X120" s="23"/>
      <c r="Y120" s="8"/>
      <c r="Z120" s="10" t="n">
        <f aca="false">IF(Q120="","",IF(Q120&lt;=$B$4,N(W120)+N(X120),0))</f>
        <v>0</v>
      </c>
      <c r="AA120" s="10" t="n">
        <f aca="false">IF(OR(LEFT(N120,6)="Larger",LEFT(N120,4)="Memo"),H120,0)</f>
        <v>300</v>
      </c>
    </row>
    <row r="121" customFormat="false" ht="15" hidden="false" customHeight="false" outlineLevel="0" collapsed="false">
      <c r="A121" s="11" t="s">
        <v>41</v>
      </c>
      <c r="B121" s="12" t="str">
        <f aca="false">IFERROR(INDEX(Summary!$B$11:$B$18,MATCH($A121,Summary!$A$11:$A$18,0)),"")</f>
        <v>TX</v>
      </c>
      <c r="C121" s="11" t="s">
        <v>41</v>
      </c>
      <c r="D121" s="11" t="n">
        <v>46</v>
      </c>
      <c r="E121" s="21" t="n">
        <v>45551</v>
      </c>
      <c r="F121" s="11" t="s">
        <v>332</v>
      </c>
      <c r="G121" s="11"/>
      <c r="H121" s="10" t="n">
        <v>644</v>
      </c>
      <c r="I121" s="11" t="s">
        <v>333</v>
      </c>
      <c r="J121" s="11" t="s">
        <v>97</v>
      </c>
      <c r="K121" s="22" t="n">
        <f aca="false">IF(E121="","",($B$4-E121)/365.25)</f>
        <v>2.05338809034908</v>
      </c>
      <c r="L121" s="11" t="str">
        <f aca="false">IF(K121="","no date",IF(K121&lt;1,"0-1 yrs",IF(K121&lt;2,"1-2 yrs",IF(K121&lt;3,"2-3 yrs",IF(K121&lt;5,"3-5 yrs","5+ yrs")))))</f>
        <v>2-3 yrs</v>
      </c>
      <c r="M121" s="11" t="s">
        <v>97</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1" t="n">
        <f aca="false">IF(OR(O121="",E121=""),"",EDATE(E121,12*O121))</f>
        <v>45916</v>
      </c>
      <c r="Q121" s="21"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3"/>
      <c r="W121" s="23"/>
      <c r="X121" s="23"/>
      <c r="Y121" s="8"/>
      <c r="Z121" s="10" t="n">
        <f aca="false">IF(Q121="","",IF(Q121&lt;=$B$4,N(W121)+N(X121),0))</f>
        <v>0</v>
      </c>
      <c r="AA121" s="10" t="n">
        <f aca="false">IF(OR(LEFT(N121,6)="Larger",LEFT(N121,4)="Memo"),H121,0)</f>
        <v>0</v>
      </c>
    </row>
    <row r="122" customFormat="false" ht="15" hidden="false" customHeight="false" outlineLevel="0" collapsed="false">
      <c r="A122" s="11" t="s">
        <v>41</v>
      </c>
      <c r="B122" s="12" t="str">
        <f aca="false">IFERROR(INDEX(Summary!$B$11:$B$18,MATCH($A122,Summary!$A$11:$A$18,0)),"")</f>
        <v>TX</v>
      </c>
      <c r="C122" s="11" t="s">
        <v>41</v>
      </c>
      <c r="D122" s="11" t="n">
        <v>47</v>
      </c>
      <c r="E122" s="21" t="n">
        <v>45559</v>
      </c>
      <c r="F122" s="11" t="s">
        <v>334</v>
      </c>
      <c r="G122" s="11" t="s">
        <v>335</v>
      </c>
      <c r="H122" s="10" t="n">
        <v>150</v>
      </c>
      <c r="I122" s="11"/>
      <c r="J122" s="11" t="s">
        <v>97</v>
      </c>
      <c r="K122" s="22" t="n">
        <f aca="false">IF(E122="","",($B$4-E122)/365.25)</f>
        <v>2.03148528405202</v>
      </c>
      <c r="L122" s="11" t="str">
        <f aca="false">IF(K122="","no date",IF(K122&lt;1,"0-1 yrs",IF(K122&lt;2,"1-2 yrs",IF(K122&lt;3,"2-3 yrs",IF(K122&lt;5,"3-5 yrs","5+ yrs")))))</f>
        <v>2-3 yrs</v>
      </c>
      <c r="M122" s="11" t="s">
        <v>97</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1" t="n">
        <f aca="false">IF(OR(O122="",E122=""),"",EDATE(E122,12*O122))</f>
        <v>45924</v>
      </c>
      <c r="Q122" s="21"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3"/>
      <c r="W122" s="23"/>
      <c r="X122" s="23"/>
      <c r="Y122" s="8"/>
      <c r="Z122" s="10" t="n">
        <f aca="false">IF(Q122="","",IF(Q122&lt;=$B$4,N(W122)+N(X122),0))</f>
        <v>0</v>
      </c>
      <c r="AA122" s="10" t="n">
        <f aca="false">IF(OR(LEFT(N122,6)="Larger",LEFT(N122,4)="Memo"),H122,0)</f>
        <v>0</v>
      </c>
    </row>
    <row r="123" customFormat="false" ht="15" hidden="false" customHeight="false" outlineLevel="0" collapsed="false">
      <c r="A123" s="11" t="s">
        <v>41</v>
      </c>
      <c r="B123" s="12" t="str">
        <f aca="false">IFERROR(INDEX(Summary!$B$11:$B$18,MATCH($A123,Summary!$A$11:$A$18,0)),"")</f>
        <v>TX</v>
      </c>
      <c r="C123" s="11" t="s">
        <v>41</v>
      </c>
      <c r="D123" s="11" t="n">
        <v>48</v>
      </c>
      <c r="E123" s="21" t="n">
        <v>45569</v>
      </c>
      <c r="F123" s="11" t="s">
        <v>336</v>
      </c>
      <c r="G123" s="11" t="s">
        <v>337</v>
      </c>
      <c r="H123" s="10" t="n">
        <v>250</v>
      </c>
      <c r="I123" s="11" t="s">
        <v>338</v>
      </c>
      <c r="J123" s="11" t="s">
        <v>97</v>
      </c>
      <c r="K123" s="22" t="n">
        <f aca="false">IF(E123="","",($B$4-E123)/365.25)</f>
        <v>2.0041067761807</v>
      </c>
      <c r="L123" s="11" t="str">
        <f aca="false">IF(K123="","no date",IF(K123&lt;1,"0-1 yrs",IF(K123&lt;2,"1-2 yrs",IF(K123&lt;3,"2-3 yrs",IF(K123&lt;5,"3-5 yrs","5+ yrs")))))</f>
        <v>2-3 yrs</v>
      </c>
      <c r="M123" s="11" t="s">
        <v>97</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1" t="n">
        <f aca="false">IF(OR(O123="",E123=""),"",EDATE(E123,12*O123))</f>
        <v>45934</v>
      </c>
      <c r="Q123" s="21"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3"/>
      <c r="W123" s="23"/>
      <c r="X123" s="23"/>
      <c r="Y123" s="8"/>
      <c r="Z123" s="10" t="n">
        <f aca="false">IF(Q123="","",IF(Q123&lt;=$B$4,N(W123)+N(X123),0))</f>
        <v>0</v>
      </c>
      <c r="AA123" s="10" t="n">
        <f aca="false">IF(OR(LEFT(N123,6)="Larger",LEFT(N123,4)="Memo"),H123,0)</f>
        <v>0</v>
      </c>
    </row>
    <row r="124" customFormat="false" ht="15" hidden="false" customHeight="false" outlineLevel="0" collapsed="false">
      <c r="A124" s="11" t="s">
        <v>41</v>
      </c>
      <c r="B124" s="12" t="str">
        <f aca="false">IFERROR(INDEX(Summary!$B$11:$B$18,MATCH($A124,Summary!$A$11:$A$18,0)),"")</f>
        <v>TX</v>
      </c>
      <c r="C124" s="11" t="s">
        <v>41</v>
      </c>
      <c r="D124" s="11" t="n">
        <v>49</v>
      </c>
      <c r="E124" s="21" t="n">
        <v>45582</v>
      </c>
      <c r="F124" s="11" t="s">
        <v>339</v>
      </c>
      <c r="G124" s="11" t="s">
        <v>340</v>
      </c>
      <c r="H124" s="10" t="n">
        <v>639.98</v>
      </c>
      <c r="I124" s="11"/>
      <c r="J124" s="11" t="s">
        <v>97</v>
      </c>
      <c r="K124" s="22" t="n">
        <f aca="false">IF(E124="","",($B$4-E124)/365.25)</f>
        <v>1.96851471594798</v>
      </c>
      <c r="L124" s="11" t="str">
        <f aca="false">IF(K124="","no date",IF(K124&lt;1,"0-1 yrs",IF(K124&lt;2,"1-2 yrs",IF(K124&lt;3,"2-3 yrs",IF(K124&lt;5,"3-5 yrs","5+ yrs")))))</f>
        <v>1-2 yrs</v>
      </c>
      <c r="M124" s="11" t="s">
        <v>97</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1" t="n">
        <f aca="false">IF(OR(O124="",E124=""),"",EDATE(E124,12*O124))</f>
        <v>45947</v>
      </c>
      <c r="Q124" s="21"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3"/>
      <c r="W124" s="23"/>
      <c r="X124" s="23"/>
      <c r="Y124" s="8"/>
      <c r="Z124" s="10" t="n">
        <f aca="false">IF(Q124="","",IF(Q124&lt;=$B$4,N(W124)+N(X124),0))</f>
        <v>0</v>
      </c>
      <c r="AA124" s="10" t="n">
        <f aca="false">IF(OR(LEFT(N124,6)="Larger",LEFT(N124,4)="Memo"),H124,0)</f>
        <v>639.98</v>
      </c>
    </row>
    <row r="125" customFormat="false" ht="15" hidden="false" customHeight="false" outlineLevel="0" collapsed="false">
      <c r="A125" s="11" t="s">
        <v>41</v>
      </c>
      <c r="B125" s="12" t="str">
        <f aca="false">IFERROR(INDEX(Summary!$B$11:$B$18,MATCH($A125,Summary!$A$11:$A$18,0)),"")</f>
        <v>TX</v>
      </c>
      <c r="C125" s="11" t="s">
        <v>41</v>
      </c>
      <c r="D125" s="11" t="n">
        <v>50</v>
      </c>
      <c r="E125" s="21" t="n">
        <v>45594</v>
      </c>
      <c r="F125" s="11" t="s">
        <v>341</v>
      </c>
      <c r="G125" s="11"/>
      <c r="H125" s="10" t="n">
        <v>200</v>
      </c>
      <c r="I125" s="11" t="s">
        <v>342</v>
      </c>
      <c r="J125" s="11" t="s">
        <v>97</v>
      </c>
      <c r="K125" s="22" t="n">
        <f aca="false">IF(E125="","",($B$4-E125)/365.25)</f>
        <v>1.9356605065024</v>
      </c>
      <c r="L125" s="11" t="str">
        <f aca="false">IF(K125="","no date",IF(K125&lt;1,"0-1 yrs",IF(K125&lt;2,"1-2 yrs",IF(K125&lt;3,"2-3 yrs",IF(K125&lt;5,"3-5 yrs","5+ yrs")))))</f>
        <v>1-2 yrs</v>
      </c>
      <c r="M125" s="24" t="s">
        <v>108</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1" t="n">
        <f aca="false">IF(OR(O125="",E125=""),"",EDATE(E125,12*O125))</f>
        <v>45959</v>
      </c>
      <c r="Q125" s="21"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3"/>
      <c r="W125" s="23"/>
      <c r="X125" s="23"/>
      <c r="Y125" s="8"/>
      <c r="Z125" s="10" t="n">
        <f aca="false">IF(Q125="","",IF(Q125&lt;=$B$4,N(W125)+N(X125),0))</f>
        <v>0</v>
      </c>
      <c r="AA125" s="10" t="n">
        <f aca="false">IF(OR(LEFT(N125,6)="Larger",LEFT(N125,4)="Memo"),H125,0)</f>
        <v>200</v>
      </c>
    </row>
    <row r="126" customFormat="false" ht="15" hidden="false" customHeight="false" outlineLevel="0" collapsed="false">
      <c r="A126" s="11" t="s">
        <v>41</v>
      </c>
      <c r="B126" s="12" t="str">
        <f aca="false">IFERROR(INDEX(Summary!$B$11:$B$18,MATCH($A126,Summary!$A$11:$A$18,0)),"")</f>
        <v>TX</v>
      </c>
      <c r="C126" s="11" t="s">
        <v>41</v>
      </c>
      <c r="D126" s="11" t="n">
        <v>51</v>
      </c>
      <c r="E126" s="21" t="n">
        <v>45601</v>
      </c>
      <c r="F126" s="11" t="s">
        <v>343</v>
      </c>
      <c r="G126" s="11"/>
      <c r="H126" s="10" t="n">
        <v>469.5</v>
      </c>
      <c r="I126" s="11" t="s">
        <v>308</v>
      </c>
      <c r="J126" s="11" t="s">
        <v>97</v>
      </c>
      <c r="K126" s="22" t="n">
        <f aca="false">IF(E126="","",($B$4-E126)/365.25)</f>
        <v>1.91649555099247</v>
      </c>
      <c r="L126" s="11" t="str">
        <f aca="false">IF(K126="","no date",IF(K126&lt;1,"0-1 yrs",IF(K126&lt;2,"1-2 yrs",IF(K126&lt;3,"2-3 yrs",IF(K126&lt;5,"3-5 yrs","5+ yrs")))))</f>
        <v>1-2 yrs</v>
      </c>
      <c r="M126" s="11" t="s">
        <v>97</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1" t="n">
        <f aca="false">IF(OR(O126="",E126=""),"",EDATE(E126,12*O126))</f>
        <v>45966</v>
      </c>
      <c r="Q126" s="21"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3"/>
      <c r="W126" s="23"/>
      <c r="X126" s="23"/>
      <c r="Y126" s="8"/>
      <c r="Z126" s="10" t="n">
        <f aca="false">IF(Q126="","",IF(Q126&lt;=$B$4,N(W126)+N(X126),0))</f>
        <v>0</v>
      </c>
      <c r="AA126" s="10" t="n">
        <f aca="false">IF(OR(LEFT(N126,6)="Larger",LEFT(N126,4)="Memo"),H126,0)</f>
        <v>469.5</v>
      </c>
    </row>
    <row r="127" customFormat="false" ht="15" hidden="false" customHeight="false" outlineLevel="0" collapsed="false">
      <c r="A127" s="11" t="s">
        <v>41</v>
      </c>
      <c r="B127" s="12" t="str">
        <f aca="false">IFERROR(INDEX(Summary!$B$11:$B$18,MATCH($A127,Summary!$A$11:$A$18,0)),"")</f>
        <v>TX</v>
      </c>
      <c r="C127" s="11" t="s">
        <v>41</v>
      </c>
      <c r="D127" s="11" t="n">
        <v>52</v>
      </c>
      <c r="E127" s="21" t="n">
        <v>45609</v>
      </c>
      <c r="F127" s="11" t="s">
        <v>344</v>
      </c>
      <c r="G127" s="11"/>
      <c r="H127" s="10" t="n">
        <v>229</v>
      </c>
      <c r="I127" s="11" t="s">
        <v>345</v>
      </c>
      <c r="J127" s="11" t="s">
        <v>97</v>
      </c>
      <c r="K127" s="22" t="n">
        <f aca="false">IF(E127="","",($B$4-E127)/365.25)</f>
        <v>1.89459274469541</v>
      </c>
      <c r="L127" s="11" t="str">
        <f aca="false">IF(K127="","no date",IF(K127&lt;1,"0-1 yrs",IF(K127&lt;2,"1-2 yrs",IF(K127&lt;3,"2-3 yrs",IF(K127&lt;5,"3-5 yrs","5+ yrs")))))</f>
        <v>1-2 yrs</v>
      </c>
      <c r="M127" s="11" t="s">
        <v>97</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1" t="n">
        <f aca="false">IF(OR(O127="",E127=""),"",EDATE(E127,12*O127))</f>
        <v>45974</v>
      </c>
      <c r="Q127" s="21"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3"/>
      <c r="W127" s="23"/>
      <c r="X127" s="23"/>
      <c r="Y127" s="8"/>
      <c r="Z127" s="10" t="n">
        <f aca="false">IF(Q127="","",IF(Q127&lt;=$B$4,N(W127)+N(X127),0))</f>
        <v>0</v>
      </c>
      <c r="AA127" s="10" t="n">
        <f aca="false">IF(OR(LEFT(N127,6)="Larger",LEFT(N127,4)="Memo"),H127,0)</f>
        <v>0</v>
      </c>
    </row>
    <row r="128" customFormat="false" ht="15" hidden="false" customHeight="false" outlineLevel="0" collapsed="false">
      <c r="A128" s="11" t="s">
        <v>41</v>
      </c>
      <c r="B128" s="12" t="str">
        <f aca="false">IFERROR(INDEX(Summary!$B$11:$B$18,MATCH($A128,Summary!$A$11:$A$18,0)),"")</f>
        <v>TX</v>
      </c>
      <c r="C128" s="11" t="s">
        <v>41</v>
      </c>
      <c r="D128" s="11" t="n">
        <v>53</v>
      </c>
      <c r="E128" s="21" t="n">
        <v>45632</v>
      </c>
      <c r="F128" s="11" t="s">
        <v>346</v>
      </c>
      <c r="G128" s="11"/>
      <c r="H128" s="10" t="n">
        <v>176.25</v>
      </c>
      <c r="I128" s="11"/>
      <c r="J128" s="11" t="s">
        <v>97</v>
      </c>
      <c r="K128" s="22" t="n">
        <f aca="false">IF(E128="","",($B$4-E128)/365.25)</f>
        <v>1.83162217659138</v>
      </c>
      <c r="L128" s="11" t="str">
        <f aca="false">IF(K128="","no date",IF(K128&lt;1,"0-1 yrs",IF(K128&lt;2,"1-2 yrs",IF(K128&lt;3,"2-3 yrs",IF(K128&lt;5,"3-5 yrs","5+ yrs")))))</f>
        <v>1-2 yrs</v>
      </c>
      <c r="M128" s="11" t="s">
        <v>97</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1" t="n">
        <f aca="false">IF(OR(O128="",E128=""),"",EDATE(E128,12*O128))</f>
        <v>45997</v>
      </c>
      <c r="Q128" s="21"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3"/>
      <c r="W128" s="23"/>
      <c r="X128" s="23"/>
      <c r="Y128" s="8"/>
      <c r="Z128" s="10" t="n">
        <f aca="false">IF(Q128="","",IF(Q128&lt;=$B$4,N(W128)+N(X128),0))</f>
        <v>0</v>
      </c>
      <c r="AA128" s="10" t="n">
        <f aca="false">IF(OR(LEFT(N128,6)="Larger",LEFT(N128,4)="Memo"),H128,0)</f>
        <v>0</v>
      </c>
    </row>
    <row r="129" customFormat="false" ht="15" hidden="false" customHeight="false" outlineLevel="0" collapsed="false">
      <c r="A129" s="11" t="s">
        <v>41</v>
      </c>
      <c r="B129" s="12" t="str">
        <f aca="false">IFERROR(INDEX(Summary!$B$11:$B$18,MATCH($A129,Summary!$A$11:$A$18,0)),"")</f>
        <v>TX</v>
      </c>
      <c r="C129" s="11" t="s">
        <v>41</v>
      </c>
      <c r="D129" s="11" t="n">
        <v>54</v>
      </c>
      <c r="E129" s="21" t="n">
        <v>45644</v>
      </c>
      <c r="F129" s="11" t="s">
        <v>347</v>
      </c>
      <c r="G129" s="11"/>
      <c r="H129" s="10" t="n">
        <v>165</v>
      </c>
      <c r="I129" s="11"/>
      <c r="J129" s="11" t="s">
        <v>97</v>
      </c>
      <c r="K129" s="22" t="n">
        <f aca="false">IF(E129="","",($B$4-E129)/365.25)</f>
        <v>1.79876796714579</v>
      </c>
      <c r="L129" s="11" t="str">
        <f aca="false">IF(K129="","no date",IF(K129&lt;1,"0-1 yrs",IF(K129&lt;2,"1-2 yrs",IF(K129&lt;3,"2-3 yrs",IF(K129&lt;5,"3-5 yrs","5+ yrs")))))</f>
        <v>1-2 yrs</v>
      </c>
      <c r="M129" s="11" t="s">
        <v>97</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1" t="n">
        <f aca="false">IF(OR(O129="",E129=""),"",EDATE(E129,12*O129))</f>
        <v>46009</v>
      </c>
      <c r="Q129" s="21"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3"/>
      <c r="W129" s="23"/>
      <c r="X129" s="23"/>
      <c r="Y129" s="8"/>
      <c r="Z129" s="10" t="n">
        <f aca="false">IF(Q129="","",IF(Q129&lt;=$B$4,N(W129)+N(X129),0))</f>
        <v>0</v>
      </c>
      <c r="AA129" s="10" t="n">
        <f aca="false">IF(OR(LEFT(N129,6)="Larger",LEFT(N129,4)="Memo"),H129,0)</f>
        <v>0</v>
      </c>
    </row>
    <row r="130" customFormat="false" ht="15" hidden="false" customHeight="false" outlineLevel="0" collapsed="false">
      <c r="A130" s="11" t="s">
        <v>41</v>
      </c>
      <c r="B130" s="12" t="str">
        <f aca="false">IFERROR(INDEX(Summary!$B$11:$B$18,MATCH($A130,Summary!$A$11:$A$18,0)),"")</f>
        <v>TX</v>
      </c>
      <c r="C130" s="11" t="s">
        <v>41</v>
      </c>
      <c r="D130" s="11" t="n">
        <v>55</v>
      </c>
      <c r="E130" s="21" t="n">
        <v>45695</v>
      </c>
      <c r="F130" s="11" t="s">
        <v>348</v>
      </c>
      <c r="G130" s="11"/>
      <c r="H130" s="10" t="n">
        <v>195</v>
      </c>
      <c r="I130" s="11" t="s">
        <v>349</v>
      </c>
      <c r="J130" s="11" t="s">
        <v>97</v>
      </c>
      <c r="K130" s="22" t="n">
        <f aca="false">IF(E130="","",($B$4-E130)/365.25)</f>
        <v>1.65913757700205</v>
      </c>
      <c r="L130" s="11" t="str">
        <f aca="false">IF(K130="","no date",IF(K130&lt;1,"0-1 yrs",IF(K130&lt;2,"1-2 yrs",IF(K130&lt;3,"2-3 yrs",IF(K130&lt;5,"3-5 yrs","5+ yrs")))))</f>
        <v>1-2 yrs</v>
      </c>
      <c r="M130" s="11" t="s">
        <v>97</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1" t="n">
        <f aca="false">IF(OR(O130="",E130=""),"",EDATE(E130,12*O130))</f>
        <v>46060</v>
      </c>
      <c r="Q130" s="21"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3"/>
      <c r="W130" s="23"/>
      <c r="X130" s="23"/>
      <c r="Y130" s="8"/>
      <c r="Z130" s="10" t="n">
        <f aca="false">IF(Q130="","",IF(Q130&lt;=$B$4,N(W130)+N(X130),0))</f>
        <v>0</v>
      </c>
      <c r="AA130" s="10" t="n">
        <f aca="false">IF(OR(LEFT(N130,6)="Larger",LEFT(N130,4)="Memo"),H130,0)</f>
        <v>0</v>
      </c>
    </row>
    <row r="131" customFormat="false" ht="15" hidden="false" customHeight="false" outlineLevel="0" collapsed="false">
      <c r="A131" s="11" t="s">
        <v>41</v>
      </c>
      <c r="B131" s="12" t="str">
        <f aca="false">IFERROR(INDEX(Summary!$B$11:$B$18,MATCH($A131,Summary!$A$11:$A$18,0)),"")</f>
        <v>TX</v>
      </c>
      <c r="C131" s="11" t="s">
        <v>41</v>
      </c>
      <c r="D131" s="11" t="n">
        <v>56</v>
      </c>
      <c r="E131" s="21" t="n">
        <v>45825</v>
      </c>
      <c r="F131" s="11" t="s">
        <v>350</v>
      </c>
      <c r="G131" s="11"/>
      <c r="H131" s="10" t="n">
        <v>2175</v>
      </c>
      <c r="I131" s="11" t="s">
        <v>266</v>
      </c>
      <c r="J131" s="11" t="s">
        <v>97</v>
      </c>
      <c r="K131" s="22" t="n">
        <f aca="false">IF(E131="","",($B$4-E131)/365.25)</f>
        <v>1.30321697467488</v>
      </c>
      <c r="L131" s="11" t="str">
        <f aca="false">IF(K131="","no date",IF(K131&lt;1,"0-1 yrs",IF(K131&lt;2,"1-2 yrs",IF(K131&lt;3,"2-3 yrs",IF(K131&lt;5,"3-5 yrs","5+ yrs")))))</f>
        <v>1-2 yrs</v>
      </c>
      <c r="M131" s="11" t="s">
        <v>97</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1" t="n">
        <f aca="false">IF(OR(O131="",E131=""),"",EDATE(E131,12*O131))</f>
        <v>46190</v>
      </c>
      <c r="Q131" s="21"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3"/>
      <c r="W131" s="23"/>
      <c r="X131" s="23"/>
      <c r="Y131" s="8"/>
      <c r="Z131" s="10" t="n">
        <f aca="false">IF(Q131="","",IF(Q131&lt;=$B$4,N(W131)+N(X131),0))</f>
        <v>0</v>
      </c>
      <c r="AA131" s="10" t="n">
        <f aca="false">IF(OR(LEFT(N131,6)="Larger",LEFT(N131,4)="Memo"),H131,0)</f>
        <v>2175</v>
      </c>
    </row>
    <row r="132" customFormat="false" ht="15" hidden="false" customHeight="false" outlineLevel="0" collapsed="false">
      <c r="A132" s="11" t="s">
        <v>41</v>
      </c>
      <c r="B132" s="12" t="str">
        <f aca="false">IFERROR(INDEX(Summary!$B$11:$B$18,MATCH($A132,Summary!$A$11:$A$18,0)),"")</f>
        <v>TX</v>
      </c>
      <c r="C132" s="11" t="s">
        <v>41</v>
      </c>
      <c r="D132" s="11" t="n">
        <v>57</v>
      </c>
      <c r="E132" s="21" t="n">
        <v>45873</v>
      </c>
      <c r="F132" s="11" t="s">
        <v>351</v>
      </c>
      <c r="G132" s="11"/>
      <c r="H132" s="10" t="n">
        <v>420</v>
      </c>
      <c r="I132" s="11" t="s">
        <v>352</v>
      </c>
      <c r="J132" s="11" t="s">
        <v>97</v>
      </c>
      <c r="K132" s="22" t="n">
        <f aca="false">IF(E132="","",($B$4-E132)/365.25)</f>
        <v>1.17180013689254</v>
      </c>
      <c r="L132" s="11" t="str">
        <f aca="false">IF(K132="","no date",IF(K132&lt;1,"0-1 yrs",IF(K132&lt;2,"1-2 yrs",IF(K132&lt;3,"2-3 yrs",IF(K132&lt;5,"3-5 yrs","5+ yrs")))))</f>
        <v>1-2 yrs</v>
      </c>
      <c r="M132" s="11" t="s">
        <v>97</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1" t="n">
        <f aca="false">IF(OR(O132="",E132=""),"",EDATE(E132,12*O132))</f>
        <v>46238</v>
      </c>
      <c r="Q132" s="21"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3"/>
      <c r="W132" s="23"/>
      <c r="X132" s="23"/>
      <c r="Y132" s="8"/>
      <c r="Z132" s="10" t="n">
        <f aca="false">IF(Q132="","",IF(Q132&lt;=$B$4,N(W132)+N(X132),0))</f>
        <v>0</v>
      </c>
      <c r="AA132" s="10" t="n">
        <f aca="false">IF(OR(LEFT(N132,6)="Larger",LEFT(N132,4)="Memo"),H132,0)</f>
        <v>420</v>
      </c>
    </row>
    <row r="133" customFormat="false" ht="15" hidden="false" customHeight="false" outlineLevel="0" collapsed="false">
      <c r="A133" s="11" t="s">
        <v>41</v>
      </c>
      <c r="B133" s="12" t="str">
        <f aca="false">IFERROR(INDEX(Summary!$B$11:$B$18,MATCH($A133,Summary!$A$11:$A$18,0)),"")</f>
        <v>TX</v>
      </c>
      <c r="C133" s="11" t="s">
        <v>41</v>
      </c>
      <c r="D133" s="11" t="n">
        <v>58</v>
      </c>
      <c r="E133" s="21" t="n">
        <v>45930</v>
      </c>
      <c r="F133" s="11" t="s">
        <v>353</v>
      </c>
      <c r="G133" s="11"/>
      <c r="H133" s="10" t="n">
        <v>869.78</v>
      </c>
      <c r="I133" s="11"/>
      <c r="J133" s="11" t="s">
        <v>97</v>
      </c>
      <c r="K133" s="22" t="n">
        <f aca="false">IF(E133="","",($B$4-E133)/365.25)</f>
        <v>1.01574264202601</v>
      </c>
      <c r="L133" s="11" t="str">
        <f aca="false">IF(K133="","no date",IF(K133&lt;1,"0-1 yrs",IF(K133&lt;2,"1-2 yrs",IF(K133&lt;3,"2-3 yrs",IF(K133&lt;5,"3-5 yrs","5+ yrs")))))</f>
        <v>1-2 yrs</v>
      </c>
      <c r="M133" s="11" t="s">
        <v>97</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1" t="n">
        <f aca="false">IF(OR(O133="",E133=""),"",EDATE(E133,12*O133))</f>
        <v>46295</v>
      </c>
      <c r="Q133" s="21"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3"/>
      <c r="W133" s="23"/>
      <c r="X133" s="23"/>
      <c r="Y133" s="8"/>
      <c r="Z133" s="10" t="n">
        <f aca="false">IF(Q133="","",IF(Q133&lt;=$B$4,N(W133)+N(X133),0))</f>
        <v>0</v>
      </c>
      <c r="AA133" s="10" t="n">
        <f aca="false">IF(OR(LEFT(N133,6)="Larger",LEFT(N133,4)="Memo"),H133,0)</f>
        <v>869.78</v>
      </c>
    </row>
    <row r="134" customFormat="false" ht="15" hidden="false" customHeight="false" outlineLevel="0" collapsed="false">
      <c r="A134" s="11" t="s">
        <v>41</v>
      </c>
      <c r="B134" s="12" t="str">
        <f aca="false">IFERROR(INDEX(Summary!$B$11:$B$18,MATCH($A134,Summary!$A$11:$A$18,0)),"")</f>
        <v>TX</v>
      </c>
      <c r="C134" s="11" t="s">
        <v>41</v>
      </c>
      <c r="D134" s="11" t="n">
        <v>59</v>
      </c>
      <c r="E134" s="21" t="n">
        <v>45966</v>
      </c>
      <c r="F134" s="11" t="s">
        <v>354</v>
      </c>
      <c r="G134" s="11"/>
      <c r="H134" s="10" t="n">
        <v>149</v>
      </c>
      <c r="I134" s="11"/>
      <c r="J134" s="11" t="s">
        <v>97</v>
      </c>
      <c r="K134" s="22" t="n">
        <f aca="false">IF(E134="","",($B$4-E134)/365.25)</f>
        <v>0.917180013689254</v>
      </c>
      <c r="L134" s="11" t="str">
        <f aca="false">IF(K134="","no date",IF(K134&lt;1,"0-1 yrs",IF(K134&lt;2,"1-2 yrs",IF(K134&lt;3,"2-3 yrs",IF(K134&lt;5,"3-5 yrs","5+ yrs")))))</f>
        <v>0-1 yrs</v>
      </c>
      <c r="M134" s="11" t="s">
        <v>97</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1" t="n">
        <f aca="false">IF(OR(O134="",E134=""),"",EDATE(E134,12*O134))</f>
        <v>46331</v>
      </c>
      <c r="Q134" s="21"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3"/>
      <c r="W134" s="23"/>
      <c r="X134" s="23"/>
      <c r="Y134" s="8"/>
      <c r="Z134" s="10" t="n">
        <f aca="false">IF(Q134="","",IF(Q134&lt;=$B$4,N(W134)+N(X134),0))</f>
        <v>0</v>
      </c>
      <c r="AA134" s="10" t="n">
        <f aca="false">IF(OR(LEFT(N134,6)="Larger",LEFT(N134,4)="Memo"),H134,0)</f>
        <v>0</v>
      </c>
    </row>
    <row r="135" customFormat="false" ht="15" hidden="false" customHeight="false" outlineLevel="0" collapsed="false">
      <c r="A135" s="11" t="s">
        <v>41</v>
      </c>
      <c r="B135" s="12" t="str">
        <f aca="false">IFERROR(INDEX(Summary!$B$11:$B$18,MATCH($A135,Summary!$A$11:$A$18,0)),"")</f>
        <v>TX</v>
      </c>
      <c r="C135" s="11" t="s">
        <v>41</v>
      </c>
      <c r="D135" s="11" t="n">
        <v>60</v>
      </c>
      <c r="E135" s="21" t="n">
        <v>46079</v>
      </c>
      <c r="F135" s="11" t="s">
        <v>355</v>
      </c>
      <c r="G135" s="11" t="s">
        <v>356</v>
      </c>
      <c r="H135" s="10" t="n">
        <v>1397.5</v>
      </c>
      <c r="I135" s="11"/>
      <c r="J135" s="11" t="s">
        <v>97</v>
      </c>
      <c r="K135" s="22" t="n">
        <f aca="false">IF(E135="","",($B$4-E135)/365.25)</f>
        <v>0.607802874743327</v>
      </c>
      <c r="L135" s="11" t="str">
        <f aca="false">IF(K135="","no date",IF(K135&lt;1,"0-1 yrs",IF(K135&lt;2,"1-2 yrs",IF(K135&lt;3,"2-3 yrs",IF(K135&lt;5,"3-5 yrs","5+ yrs")))))</f>
        <v>0-1 yrs</v>
      </c>
      <c r="M135" s="11" t="s">
        <v>97</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1" t="n">
        <f aca="false">IF(OR(O135="",E135=""),"",EDATE(E135,12*O135))</f>
        <v>46444</v>
      </c>
      <c r="Q135" s="21"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3"/>
      <c r="W135" s="23"/>
      <c r="X135" s="23"/>
      <c r="Y135" s="8"/>
      <c r="Z135" s="10" t="n">
        <f aca="false">IF(Q135="","",IF(Q135&lt;=$B$4,N(W135)+N(X135),0))</f>
        <v>0</v>
      </c>
      <c r="AA135" s="10" t="n">
        <f aca="false">IF(OR(LEFT(N135,6)="Larger",LEFT(N135,4)="Memo"),H135,0)</f>
        <v>1397.5</v>
      </c>
    </row>
    <row r="136" customFormat="false" ht="15" hidden="false" customHeight="false" outlineLevel="0" collapsed="false">
      <c r="A136" s="11" t="s">
        <v>41</v>
      </c>
      <c r="B136" s="12" t="str">
        <f aca="false">IFERROR(INDEX(Summary!$B$11:$B$18,MATCH($A136,Summary!$A$11:$A$18,0)),"")</f>
        <v>TX</v>
      </c>
      <c r="C136" s="11" t="s">
        <v>41</v>
      </c>
      <c r="D136" s="11" t="n">
        <v>61</v>
      </c>
      <c r="E136" s="21" t="n">
        <v>46098</v>
      </c>
      <c r="F136" s="11" t="s">
        <v>357</v>
      </c>
      <c r="G136" s="11" t="s">
        <v>358</v>
      </c>
      <c r="H136" s="10" t="n">
        <v>750</v>
      </c>
      <c r="I136" s="11" t="s">
        <v>359</v>
      </c>
      <c r="J136" s="11" t="s">
        <v>97</v>
      </c>
      <c r="K136" s="22" t="n">
        <f aca="false">IF(E136="","",($B$4-E136)/365.25)</f>
        <v>0.555783709787817</v>
      </c>
      <c r="L136" s="11" t="str">
        <f aca="false">IF(K136="","no date",IF(K136&lt;1,"0-1 yrs",IF(K136&lt;2,"1-2 yrs",IF(K136&lt;3,"2-3 yrs",IF(K136&lt;5,"3-5 yrs","5+ yrs")))))</f>
        <v>0-1 yrs</v>
      </c>
      <c r="M136" s="11" t="s">
        <v>97</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1" t="n">
        <f aca="false">IF(OR(O136="",E136=""),"",EDATE(E136,12*O136))</f>
        <v>46463</v>
      </c>
      <c r="Q136" s="21"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3"/>
      <c r="W136" s="23"/>
      <c r="X136" s="23"/>
      <c r="Y136" s="8"/>
      <c r="Z136" s="10" t="n">
        <f aca="false">IF(Q136="","",IF(Q136&lt;=$B$4,N(W136)+N(X136),0))</f>
        <v>0</v>
      </c>
      <c r="AA136" s="10" t="n">
        <f aca="false">IF(OR(LEFT(N136,6)="Larger",LEFT(N136,4)="Memo"),H136,0)</f>
        <v>750</v>
      </c>
    </row>
    <row r="137" customFormat="false" ht="15" hidden="false" customHeight="false" outlineLevel="0" collapsed="false">
      <c r="A137" s="11" t="s">
        <v>41</v>
      </c>
      <c r="B137" s="12" t="str">
        <f aca="false">IFERROR(INDEX(Summary!$B$11:$B$18,MATCH($A137,Summary!$A$11:$A$18,0)),"")</f>
        <v>TX</v>
      </c>
      <c r="C137" s="11" t="s">
        <v>41</v>
      </c>
      <c r="D137" s="11" t="n">
        <v>62</v>
      </c>
      <c r="E137" s="21" t="n">
        <v>46115</v>
      </c>
      <c r="F137" s="11" t="s">
        <v>360</v>
      </c>
      <c r="G137" s="11" t="s">
        <v>361</v>
      </c>
      <c r="H137" s="10" t="n">
        <v>13189.8</v>
      </c>
      <c r="I137" s="11" t="s">
        <v>162</v>
      </c>
      <c r="J137" s="11" t="s">
        <v>97</v>
      </c>
      <c r="K137" s="22" t="n">
        <f aca="false">IF(E137="","",($B$4-E137)/365.25)</f>
        <v>0.509240246406571</v>
      </c>
      <c r="L137" s="11" t="str">
        <f aca="false">IF(K137="","no date",IF(K137&lt;1,"0-1 yrs",IF(K137&lt;2,"1-2 yrs",IF(K137&lt;3,"2-3 yrs",IF(K137&lt;5,"3-5 yrs","5+ yrs")))))</f>
        <v>0-1 yrs</v>
      </c>
      <c r="M137" s="11" t="s">
        <v>97</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1" t="n">
        <f aca="false">IF(OR(O137="",E137=""),"",EDATE(E137,12*O137))</f>
        <v>46480</v>
      </c>
      <c r="Q137" s="21"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3"/>
      <c r="W137" s="23"/>
      <c r="X137" s="23"/>
      <c r="Y137" s="8"/>
      <c r="Z137" s="10" t="n">
        <f aca="false">IF(Q137="","",IF(Q137&lt;=$B$4,N(W137)+N(X137),0))</f>
        <v>0</v>
      </c>
      <c r="AA137" s="10" t="n">
        <f aca="false">IF(OR(LEFT(N137,6)="Larger",LEFT(N137,4)="Memo"),H137,0)</f>
        <v>13189.8</v>
      </c>
    </row>
    <row r="138" customFormat="false" ht="15" hidden="false" customHeight="false" outlineLevel="0" collapsed="false">
      <c r="A138" s="11" t="s">
        <v>41</v>
      </c>
      <c r="B138" s="12" t="str">
        <f aca="false">IFERROR(INDEX(Summary!$B$11:$B$18,MATCH($A138,Summary!$A$11:$A$18,0)),"")</f>
        <v>TX</v>
      </c>
      <c r="C138" s="11" t="s">
        <v>41</v>
      </c>
      <c r="D138" s="11" t="n">
        <v>63</v>
      </c>
      <c r="E138" s="21" t="n">
        <v>46141</v>
      </c>
      <c r="F138" s="11" t="s">
        <v>362</v>
      </c>
      <c r="G138" s="11" t="s">
        <v>363</v>
      </c>
      <c r="H138" s="10" t="n">
        <v>445.5</v>
      </c>
      <c r="I138" s="11" t="s">
        <v>364</v>
      </c>
      <c r="J138" s="11" t="s">
        <v>97</v>
      </c>
      <c r="K138" s="22" t="n">
        <f aca="false">IF(E138="","",($B$4-E138)/365.25)</f>
        <v>0.438056125941136</v>
      </c>
      <c r="L138" s="11" t="str">
        <f aca="false">IF(K138="","no date",IF(K138&lt;1,"0-1 yrs",IF(K138&lt;2,"1-2 yrs",IF(K138&lt;3,"2-3 yrs",IF(K138&lt;5,"3-5 yrs","5+ yrs")))))</f>
        <v>0-1 yrs</v>
      </c>
      <c r="M138" s="11" t="s">
        <v>97</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1" t="n">
        <f aca="false">IF(OR(O138="",E138=""),"",EDATE(E138,12*O138))</f>
        <v>46506</v>
      </c>
      <c r="Q138" s="21"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3"/>
      <c r="W138" s="23"/>
      <c r="X138" s="23"/>
      <c r="Y138" s="8"/>
      <c r="Z138" s="10" t="n">
        <f aca="false">IF(Q138="","",IF(Q138&lt;=$B$4,N(W138)+N(X138),0))</f>
        <v>0</v>
      </c>
      <c r="AA138" s="10" t="n">
        <f aca="false">IF(OR(LEFT(N138,6)="Larger",LEFT(N138,4)="Memo"),H138,0)</f>
        <v>445.5</v>
      </c>
    </row>
    <row r="139" customFormat="false" ht="15" hidden="false" customHeight="false" outlineLevel="0" collapsed="false">
      <c r="A139" s="11" t="s">
        <v>41</v>
      </c>
      <c r="B139" s="12" t="str">
        <f aca="false">IFERROR(INDEX(Summary!$B$11:$B$18,MATCH($A139,Summary!$A$11:$A$18,0)),"")</f>
        <v>TX</v>
      </c>
      <c r="C139" s="11" t="s">
        <v>41</v>
      </c>
      <c r="D139" s="11" t="n">
        <v>64</v>
      </c>
      <c r="E139" s="21" t="n">
        <v>46143</v>
      </c>
      <c r="F139" s="11" t="s">
        <v>365</v>
      </c>
      <c r="G139" s="11"/>
      <c r="H139" s="10" t="n">
        <v>1100</v>
      </c>
      <c r="I139" s="11" t="s">
        <v>366</v>
      </c>
      <c r="J139" s="11" t="s">
        <v>97</v>
      </c>
      <c r="K139" s="22" t="n">
        <f aca="false">IF(E139="","",($B$4-E139)/365.25)</f>
        <v>0.432580424366872</v>
      </c>
      <c r="L139" s="11" t="str">
        <f aca="false">IF(K139="","no date",IF(K139&lt;1,"0-1 yrs",IF(K139&lt;2,"1-2 yrs",IF(K139&lt;3,"2-3 yrs",IF(K139&lt;5,"3-5 yrs","5+ yrs")))))</f>
        <v>0-1 yrs</v>
      </c>
      <c r="M139" s="11" t="s">
        <v>97</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1" t="n">
        <f aca="false">IF(OR(O139="",E139=""),"",EDATE(E139,12*O139))</f>
        <v>46508</v>
      </c>
      <c r="Q139" s="21"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3"/>
      <c r="W139" s="23"/>
      <c r="X139" s="23"/>
      <c r="Y139" s="8"/>
      <c r="Z139" s="10" t="n">
        <f aca="false">IF(Q139="","",IF(Q139&lt;=$B$4,N(W139)+N(X139),0))</f>
        <v>0</v>
      </c>
      <c r="AA139" s="10" t="n">
        <f aca="false">IF(OR(LEFT(N139,6)="Larger",LEFT(N139,4)="Memo"),H139,0)</f>
        <v>1100</v>
      </c>
    </row>
    <row r="140" customFormat="false" ht="15" hidden="false" customHeight="false" outlineLevel="0" collapsed="false">
      <c r="A140" s="11" t="s">
        <v>41</v>
      </c>
      <c r="B140" s="12" t="str">
        <f aca="false">IFERROR(INDEX(Summary!$B$11:$B$18,MATCH($A140,Summary!$A$11:$A$18,0)),"")</f>
        <v>TX</v>
      </c>
      <c r="C140" s="11" t="s">
        <v>41</v>
      </c>
      <c r="D140" s="11" t="n">
        <v>65</v>
      </c>
      <c r="E140" s="21" t="n">
        <v>46175</v>
      </c>
      <c r="F140" s="11" t="s">
        <v>367</v>
      </c>
      <c r="G140" s="11" t="s">
        <v>368</v>
      </c>
      <c r="H140" s="10" t="n">
        <v>600</v>
      </c>
      <c r="I140" s="11" t="s">
        <v>369</v>
      </c>
      <c r="J140" s="11" t="s">
        <v>97</v>
      </c>
      <c r="K140" s="22" t="n">
        <f aca="false">IF(E140="","",($B$4-E140)/365.25)</f>
        <v>0.344969199178645</v>
      </c>
      <c r="L140" s="11" t="str">
        <f aca="false">IF(K140="","no date",IF(K140&lt;1,"0-1 yrs",IF(K140&lt;2,"1-2 yrs",IF(K140&lt;3,"2-3 yrs",IF(K140&lt;5,"3-5 yrs","5+ yrs")))))</f>
        <v>0-1 yrs</v>
      </c>
      <c r="M140" s="11" t="s">
        <v>97</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1" t="n">
        <f aca="false">IF(OR(O140="",E140=""),"",EDATE(E140,12*O140))</f>
        <v>46540</v>
      </c>
      <c r="Q140" s="21"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3"/>
      <c r="W140" s="23"/>
      <c r="X140" s="23"/>
      <c r="Y140" s="8"/>
      <c r="Z140" s="10" t="n">
        <f aca="false">IF(Q140="","",IF(Q140&lt;=$B$4,N(W140)+N(X140),0))</f>
        <v>0</v>
      </c>
      <c r="AA140" s="10" t="n">
        <f aca="false">IF(OR(LEFT(N140,6)="Larger",LEFT(N140,4)="Memo"),H140,0)</f>
        <v>600</v>
      </c>
    </row>
    <row r="141" customFormat="false" ht="15" hidden="false" customHeight="false" outlineLevel="0" collapsed="false">
      <c r="A141" s="11" t="s">
        <v>41</v>
      </c>
      <c r="B141" s="12" t="str">
        <f aca="false">IFERROR(INDEX(Summary!$B$11:$B$18,MATCH($A141,Summary!$A$11:$A$18,0)),"")</f>
        <v>TX</v>
      </c>
      <c r="C141" s="11" t="s">
        <v>41</v>
      </c>
      <c r="D141" s="11" t="n">
        <v>66</v>
      </c>
      <c r="E141" s="21" t="n">
        <v>46175</v>
      </c>
      <c r="F141" s="11" t="s">
        <v>370</v>
      </c>
      <c r="G141" s="11" t="s">
        <v>371</v>
      </c>
      <c r="H141" s="10" t="n">
        <v>600</v>
      </c>
      <c r="I141" s="11" t="s">
        <v>369</v>
      </c>
      <c r="J141" s="11" t="s">
        <v>97</v>
      </c>
      <c r="K141" s="22" t="n">
        <f aca="false">IF(E141="","",($B$4-E141)/365.25)</f>
        <v>0.344969199178645</v>
      </c>
      <c r="L141" s="11" t="str">
        <f aca="false">IF(K141="","no date",IF(K141&lt;1,"0-1 yrs",IF(K141&lt;2,"1-2 yrs",IF(K141&lt;3,"2-3 yrs",IF(K141&lt;5,"3-5 yrs","5+ yrs")))))</f>
        <v>0-1 yrs</v>
      </c>
      <c r="M141" s="11" t="s">
        <v>97</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1" t="n">
        <f aca="false">IF(OR(O141="",E141=""),"",EDATE(E141,12*O141))</f>
        <v>46540</v>
      </c>
      <c r="Q141" s="21"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3"/>
      <c r="W141" s="23"/>
      <c r="X141" s="23"/>
      <c r="Y141" s="8"/>
      <c r="Z141" s="10" t="n">
        <f aca="false">IF(Q141="","",IF(Q141&lt;=$B$4,N(W141)+N(X141),0))</f>
        <v>0</v>
      </c>
      <c r="AA141" s="10" t="n">
        <f aca="false">IF(OR(LEFT(N141,6)="Larger",LEFT(N141,4)="Memo"),H141,0)</f>
        <v>600</v>
      </c>
    </row>
    <row r="142" customFormat="false" ht="15" hidden="false" customHeight="false" outlineLevel="0" collapsed="false">
      <c r="A142" s="11" t="s">
        <v>41</v>
      </c>
      <c r="B142" s="12" t="str">
        <f aca="false">IFERROR(INDEX(Summary!$B$11:$B$18,MATCH($A142,Summary!$A$11:$A$18,0)),"")</f>
        <v>TX</v>
      </c>
      <c r="C142" s="11" t="s">
        <v>41</v>
      </c>
      <c r="D142" s="11" t="n">
        <v>67</v>
      </c>
      <c r="E142" s="21" t="n">
        <v>46190</v>
      </c>
      <c r="F142" s="11" t="s">
        <v>372</v>
      </c>
      <c r="G142" s="11" t="s">
        <v>373</v>
      </c>
      <c r="H142" s="10" t="n">
        <v>10236.2</v>
      </c>
      <c r="I142" s="11" t="s">
        <v>374</v>
      </c>
      <c r="J142" s="11" t="s">
        <v>97</v>
      </c>
      <c r="K142" s="22" t="n">
        <f aca="false">IF(E142="","",($B$4-E142)/365.25)</f>
        <v>0.303901437371663</v>
      </c>
      <c r="L142" s="11" t="str">
        <f aca="false">IF(K142="","no date",IF(K142&lt;1,"0-1 yrs",IF(K142&lt;2,"1-2 yrs",IF(K142&lt;3,"2-3 yrs",IF(K142&lt;5,"3-5 yrs","5+ yrs")))))</f>
        <v>0-1 yrs</v>
      </c>
      <c r="M142" s="11" t="s">
        <v>97</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1" t="n">
        <f aca="false">IF(OR(O142="",E142=""),"",EDATE(E142,12*O142))</f>
        <v>46555</v>
      </c>
      <c r="Q142" s="21"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3"/>
      <c r="W142" s="23"/>
      <c r="X142" s="23"/>
      <c r="Y142" s="8"/>
      <c r="Z142" s="10" t="n">
        <f aca="false">IF(Q142="","",IF(Q142&lt;=$B$4,N(W142)+N(X142),0))</f>
        <v>0</v>
      </c>
      <c r="AA142" s="10" t="n">
        <f aca="false">IF(OR(LEFT(N142,6)="Larger",LEFT(N142,4)="Memo"),H142,0)</f>
        <v>10236.2</v>
      </c>
    </row>
    <row r="143" customFormat="false" ht="15" hidden="false" customHeight="false" outlineLevel="0" collapsed="false">
      <c r="A143" s="11" t="s">
        <v>41</v>
      </c>
      <c r="B143" s="12" t="str">
        <f aca="false">IFERROR(INDEX(Summary!$B$11:$B$18,MATCH($A143,Summary!$A$11:$A$18,0)),"")</f>
        <v>TX</v>
      </c>
      <c r="C143" s="11" t="s">
        <v>41</v>
      </c>
      <c r="D143" s="11" t="n">
        <v>68</v>
      </c>
      <c r="E143" s="21" t="n">
        <v>46197</v>
      </c>
      <c r="F143" s="11"/>
      <c r="G143" s="11" t="s">
        <v>375</v>
      </c>
      <c r="H143" s="10" t="n">
        <v>600</v>
      </c>
      <c r="I143" s="11" t="s">
        <v>376</v>
      </c>
      <c r="J143" s="11" t="s">
        <v>97</v>
      </c>
      <c r="K143" s="22" t="n">
        <f aca="false">IF(E143="","",($B$4-E143)/365.25)</f>
        <v>0.284736481861739</v>
      </c>
      <c r="L143" s="11" t="str">
        <f aca="false">IF(K143="","no date",IF(K143&lt;1,"0-1 yrs",IF(K143&lt;2,"1-2 yrs",IF(K143&lt;3,"2-3 yrs",IF(K143&lt;5,"3-5 yrs","5+ yrs")))))</f>
        <v>0-1 yrs</v>
      </c>
      <c r="M143" s="24" t="s">
        <v>108</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1" t="n">
        <f aca="false">IF(OR(O143="",E143=""),"",EDATE(E143,12*O143))</f>
        <v>46562</v>
      </c>
      <c r="Q143" s="21"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3"/>
      <c r="W143" s="23"/>
      <c r="X143" s="23"/>
      <c r="Y143" s="8"/>
      <c r="Z143" s="10" t="n">
        <f aca="false">IF(Q143="","",IF(Q143&lt;=$B$4,N(W143)+N(X143),0))</f>
        <v>0</v>
      </c>
      <c r="AA143" s="10" t="n">
        <f aca="false">IF(OR(LEFT(N143,6)="Larger",LEFT(N143,4)="Memo"),H143,0)</f>
        <v>600</v>
      </c>
    </row>
    <row r="144" customFormat="false" ht="15" hidden="false" customHeight="false" outlineLevel="0" collapsed="false">
      <c r="A144" s="11" t="s">
        <v>41</v>
      </c>
      <c r="B144" s="12" t="str">
        <f aca="false">IFERROR(INDEX(Summary!$B$11:$B$18,MATCH($A144,Summary!$A$11:$A$18,0)),"")</f>
        <v>TX</v>
      </c>
      <c r="C144" s="11" t="s">
        <v>41</v>
      </c>
      <c r="D144" s="11" t="n">
        <v>69</v>
      </c>
      <c r="E144" s="21" t="n">
        <v>46202</v>
      </c>
      <c r="F144" s="11" t="s">
        <v>377</v>
      </c>
      <c r="G144" s="11" t="s">
        <v>378</v>
      </c>
      <c r="H144" s="10" t="n">
        <v>1600</v>
      </c>
      <c r="I144" s="11"/>
      <c r="J144" s="11" t="s">
        <v>97</v>
      </c>
      <c r="K144" s="22" t="n">
        <f aca="false">IF(E144="","",($B$4-E144)/365.25)</f>
        <v>0.271047227926078</v>
      </c>
      <c r="L144" s="11" t="str">
        <f aca="false">IF(K144="","no date",IF(K144&lt;1,"0-1 yrs",IF(K144&lt;2,"1-2 yrs",IF(K144&lt;3,"2-3 yrs",IF(K144&lt;5,"3-5 yrs","5+ yrs")))))</f>
        <v>0-1 yrs</v>
      </c>
      <c r="M144" s="11" t="s">
        <v>97</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1" t="n">
        <f aca="false">IF(OR(O144="",E144=""),"",EDATE(E144,12*O144))</f>
        <v>46567</v>
      </c>
      <c r="Q144" s="21"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3"/>
      <c r="W144" s="23"/>
      <c r="X144" s="23"/>
      <c r="Y144" s="8"/>
      <c r="Z144" s="10" t="n">
        <f aca="false">IF(Q144="","",IF(Q144&lt;=$B$4,N(W144)+N(X144),0))</f>
        <v>0</v>
      </c>
      <c r="AA144" s="10" t="n">
        <f aca="false">IF(OR(LEFT(N144,6)="Larger",LEFT(N144,4)="Memo"),H144,0)</f>
        <v>1600</v>
      </c>
    </row>
    <row r="145" customFormat="false" ht="15" hidden="false" customHeight="false" outlineLevel="0" collapsed="false">
      <c r="A145" s="11" t="s">
        <v>41</v>
      </c>
      <c r="B145" s="12" t="str">
        <f aca="false">IFERROR(INDEX(Summary!$B$11:$B$18,MATCH($A145,Summary!$A$11:$A$18,0)),"")</f>
        <v>TX</v>
      </c>
      <c r="C145" s="11" t="s">
        <v>41</v>
      </c>
      <c r="D145" s="11" t="n">
        <v>70</v>
      </c>
      <c r="E145" s="21" t="n">
        <v>46245</v>
      </c>
      <c r="F145" s="11" t="s">
        <v>379</v>
      </c>
      <c r="G145" s="11" t="s">
        <v>380</v>
      </c>
      <c r="H145" s="10" t="n">
        <v>2950</v>
      </c>
      <c r="I145" s="11"/>
      <c r="J145" s="11" t="s">
        <v>97</v>
      </c>
      <c r="K145" s="22" t="n">
        <f aca="false">IF(E145="","",($B$4-E145)/365.25)</f>
        <v>0.153319644079398</v>
      </c>
      <c r="L145" s="11" t="str">
        <f aca="false">IF(K145="","no date",IF(K145&lt;1,"0-1 yrs",IF(K145&lt;2,"1-2 yrs",IF(K145&lt;3,"2-3 yrs",IF(K145&lt;5,"3-5 yrs","5+ yrs")))))</f>
        <v>0-1 yrs</v>
      </c>
      <c r="M145" s="11" t="s">
        <v>97</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1" t="n">
        <f aca="false">IF(OR(O145="",E145=""),"",EDATE(E145,12*O145))</f>
        <v>46610</v>
      </c>
      <c r="Q145" s="21"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3"/>
      <c r="W145" s="23"/>
      <c r="X145" s="23"/>
      <c r="Y145" s="8"/>
      <c r="Z145" s="10" t="n">
        <f aca="false">IF(Q145="","",IF(Q145&lt;=$B$4,N(W145)+N(X145),0))</f>
        <v>0</v>
      </c>
      <c r="AA145" s="10" t="n">
        <f aca="false">IF(OR(LEFT(N145,6)="Larger",LEFT(N145,4)="Memo"),H145,0)</f>
        <v>2950</v>
      </c>
    </row>
    <row r="146" customFormat="false" ht="15" hidden="false" customHeight="false" outlineLevel="0" collapsed="false">
      <c r="A146" s="11" t="s">
        <v>41</v>
      </c>
      <c r="B146" s="12" t="str">
        <f aca="false">IFERROR(INDEX(Summary!$B$11:$B$18,MATCH($A146,Summary!$A$11:$A$18,0)),"")</f>
        <v>TX</v>
      </c>
      <c r="C146" s="11" t="s">
        <v>41</v>
      </c>
      <c r="D146" s="11" t="n">
        <v>71</v>
      </c>
      <c r="E146" s="21" t="n">
        <v>46258</v>
      </c>
      <c r="F146" s="11" t="s">
        <v>381</v>
      </c>
      <c r="G146" s="11" t="s">
        <v>382</v>
      </c>
      <c r="H146" s="10" t="n">
        <v>855</v>
      </c>
      <c r="I146" s="11"/>
      <c r="J146" s="11" t="s">
        <v>97</v>
      </c>
      <c r="K146" s="22" t="n">
        <f aca="false">IF(E146="","",($B$4-E146)/365.25)</f>
        <v>0.11772758384668</v>
      </c>
      <c r="L146" s="11" t="str">
        <f aca="false">IF(K146="","no date",IF(K146&lt;1,"0-1 yrs",IF(K146&lt;2,"1-2 yrs",IF(K146&lt;3,"2-3 yrs",IF(K146&lt;5,"3-5 yrs","5+ yrs")))))</f>
        <v>0-1 yrs</v>
      </c>
      <c r="M146" s="11" t="s">
        <v>97</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1" t="n">
        <f aca="false">IF(OR(O146="",E146=""),"",EDATE(E146,12*O146))</f>
        <v>46623</v>
      </c>
      <c r="Q146" s="21"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3"/>
      <c r="W146" s="23"/>
      <c r="X146" s="23"/>
      <c r="Y146" s="8"/>
      <c r="Z146" s="10" t="n">
        <f aca="false">IF(Q146="","",IF(Q146&lt;=$B$4,N(W146)+N(X146),0))</f>
        <v>0</v>
      </c>
      <c r="AA146" s="10" t="n">
        <f aca="false">IF(OR(LEFT(N146,6)="Larger",LEFT(N146,4)="Memo"),H146,0)</f>
        <v>855</v>
      </c>
    </row>
    <row r="147" customFormat="false" ht="15" hidden="false" customHeight="false" outlineLevel="0" collapsed="false">
      <c r="A147" s="11" t="s">
        <v>46</v>
      </c>
      <c r="B147" s="12" t="str">
        <f aca="false">IFERROR(INDEX(Summary!$B$11:$B$18,MATCH($A147,Summary!$A$11:$A$18,0)),"")</f>
        <v>PA</v>
      </c>
      <c r="C147" s="11" t="s">
        <v>46</v>
      </c>
      <c r="D147" s="11" t="n">
        <v>22</v>
      </c>
      <c r="E147" s="21" t="n">
        <v>45175</v>
      </c>
      <c r="F147" s="11" t="s">
        <v>383</v>
      </c>
      <c r="G147" s="11"/>
      <c r="H147" s="10" t="n">
        <v>419.35</v>
      </c>
      <c r="I147" s="11" t="s">
        <v>384</v>
      </c>
      <c r="J147" s="11" t="s">
        <v>97</v>
      </c>
      <c r="K147" s="22" t="n">
        <f aca="false">IF(E147="","",($B$4-E147)/365.25)</f>
        <v>3.08281998631075</v>
      </c>
      <c r="L147" s="11" t="str">
        <f aca="false">IF(K147="","no date",IF(K147&lt;1,"0-1 yrs",IF(K147&lt;2,"1-2 yrs",IF(K147&lt;3,"2-3 yrs",IF(K147&lt;5,"3-5 yrs","5+ yrs")))))</f>
        <v>3-5 yrs</v>
      </c>
      <c r="M147" s="11" t="s">
        <v>97</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2</v>
      </c>
      <c r="P147" s="21" t="n">
        <f aca="false">IF(OR(O147="",E147=""),"",EDATE(E147,12*O147))</f>
        <v>45906</v>
      </c>
      <c r="Q147" s="21"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3"/>
      <c r="W147" s="23"/>
      <c r="X147" s="23"/>
      <c r="Y147" s="8"/>
      <c r="Z147" s="10" t="n">
        <f aca="false">IF(Q147="","",IF(Q147&lt;=$B$4,N(W147)+N(X147),0))</f>
        <v>0</v>
      </c>
      <c r="AA147" s="10" t="n">
        <f aca="false">IF(OR(LEFT(N147,6)="Larger",LEFT(N147,4)="Memo"),H147,0)</f>
        <v>419.35</v>
      </c>
    </row>
    <row r="148" customFormat="false" ht="15" hidden="false" customHeight="false" outlineLevel="0" collapsed="false">
      <c r="A148" s="11" t="s">
        <v>46</v>
      </c>
      <c r="B148" s="12" t="str">
        <f aca="false">IFERROR(INDEX(Summary!$B$11:$B$18,MATCH($A148,Summary!$A$11:$A$18,0)),"")</f>
        <v>PA</v>
      </c>
      <c r="C148" s="11" t="s">
        <v>46</v>
      </c>
      <c r="D148" s="11" t="n">
        <v>23</v>
      </c>
      <c r="E148" s="21" t="n">
        <v>45295</v>
      </c>
      <c r="F148" s="11" t="s">
        <v>385</v>
      </c>
      <c r="G148" s="11"/>
      <c r="H148" s="10" t="n">
        <v>495</v>
      </c>
      <c r="I148" s="11" t="s">
        <v>386</v>
      </c>
      <c r="J148" s="11" t="s">
        <v>97</v>
      </c>
      <c r="K148" s="22" t="n">
        <f aca="false">IF(E148="","",($B$4-E148)/365.25)</f>
        <v>2.75427789185489</v>
      </c>
      <c r="L148" s="11" t="str">
        <f aca="false">IF(K148="","no date",IF(K148&lt;1,"0-1 yrs",IF(K148&lt;2,"1-2 yrs",IF(K148&lt;3,"2-3 yrs",IF(K148&lt;5,"3-5 yrs","5+ yrs")))))</f>
        <v>2-3 yrs</v>
      </c>
      <c r="M148" s="11" t="s">
        <v>97</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2</v>
      </c>
      <c r="P148" s="21" t="n">
        <f aca="false">IF(OR(O148="",E148=""),"",EDATE(E148,12*O148))</f>
        <v>46026</v>
      </c>
      <c r="Q148" s="21"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No</v>
      </c>
      <c r="T148" s="8"/>
      <c r="U148" s="8"/>
      <c r="V148" s="23"/>
      <c r="W148" s="23"/>
      <c r="X148" s="23"/>
      <c r="Y148" s="8"/>
      <c r="Z148" s="10" t="n">
        <f aca="false">IF(Q148="","",IF(Q148&lt;=$B$4,N(W148)+N(X148),0))</f>
        <v>0</v>
      </c>
      <c r="AA148" s="10" t="n">
        <f aca="false">IF(OR(LEFT(N148,6)="Larger",LEFT(N148,4)="Memo"),H148,0)</f>
        <v>0</v>
      </c>
    </row>
    <row r="149" customFormat="false" ht="15" hidden="false" customHeight="false" outlineLevel="0" collapsed="false">
      <c r="A149" s="11" t="s">
        <v>46</v>
      </c>
      <c r="B149" s="12" t="str">
        <f aca="false">IFERROR(INDEX(Summary!$B$11:$B$18,MATCH($A149,Summary!$A$11:$A$18,0)),"")</f>
        <v>PA</v>
      </c>
      <c r="C149" s="11" t="s">
        <v>46</v>
      </c>
      <c r="D149" s="11" t="n">
        <v>24</v>
      </c>
      <c r="E149" s="21" t="n">
        <v>45295</v>
      </c>
      <c r="F149" s="11" t="s">
        <v>387</v>
      </c>
      <c r="G149" s="11"/>
      <c r="H149" s="10" t="n">
        <v>4410</v>
      </c>
      <c r="I149" s="11" t="s">
        <v>386</v>
      </c>
      <c r="J149" s="11" t="s">
        <v>97</v>
      </c>
      <c r="K149" s="22" t="n">
        <f aca="false">IF(E149="","",($B$4-E149)/365.25)</f>
        <v>2.75427789185489</v>
      </c>
      <c r="L149" s="11" t="str">
        <f aca="false">IF(K149="","no date",IF(K149&lt;1,"0-1 yrs",IF(K149&lt;2,"1-2 yrs",IF(K149&lt;3,"2-3 yrs",IF(K149&lt;5,"3-5 yrs","5+ yrs")))))</f>
        <v>2-3 yrs</v>
      </c>
      <c r="M149" s="11" t="s">
        <v>97</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2</v>
      </c>
      <c r="P149" s="21" t="n">
        <f aca="false">IF(OR(O149="",E149=""),"",EDATE(E149,12*O149))</f>
        <v>46026</v>
      </c>
      <c r="Q149" s="21"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No</v>
      </c>
      <c r="T149" s="8"/>
      <c r="U149" s="8"/>
      <c r="V149" s="23"/>
      <c r="W149" s="23"/>
      <c r="X149" s="23"/>
      <c r="Y149" s="8"/>
      <c r="Z149" s="10" t="n">
        <f aca="false">IF(Q149="","",IF(Q149&lt;=$B$4,N(W149)+N(X149),0))</f>
        <v>0</v>
      </c>
      <c r="AA149" s="10" t="n">
        <f aca="false">IF(OR(LEFT(N149,6)="Larger",LEFT(N149,4)="Memo"),H149,0)</f>
        <v>4410</v>
      </c>
    </row>
    <row r="150" customFormat="false" ht="15" hidden="false" customHeight="false" outlineLevel="0" collapsed="false">
      <c r="A150" s="11" t="s">
        <v>46</v>
      </c>
      <c r="B150" s="12" t="str">
        <f aca="false">IFERROR(INDEX(Summary!$B$11:$B$18,MATCH($A150,Summary!$A$11:$A$18,0)),"")</f>
        <v>PA</v>
      </c>
      <c r="C150" s="11" t="s">
        <v>46</v>
      </c>
      <c r="D150" s="11" t="n">
        <v>25</v>
      </c>
      <c r="E150" s="21" t="n">
        <v>45453</v>
      </c>
      <c r="F150" s="11" t="s">
        <v>388</v>
      </c>
      <c r="G150" s="11"/>
      <c r="H150" s="10" t="n">
        <v>500</v>
      </c>
      <c r="I150" s="11" t="s">
        <v>389</v>
      </c>
      <c r="J150" s="11" t="s">
        <v>97</v>
      </c>
      <c r="K150" s="22" t="n">
        <f aca="false">IF(E150="","",($B$4-E150)/365.25)</f>
        <v>2.32169746748802</v>
      </c>
      <c r="L150" s="11" t="str">
        <f aca="false">IF(K150="","no date",IF(K150&lt;1,"0-1 yrs",IF(K150&lt;2,"1-2 yrs",IF(K150&lt;3,"2-3 yrs",IF(K150&lt;5,"3-5 yrs","5+ yrs")))))</f>
        <v>2-3 yrs</v>
      </c>
      <c r="M150" s="11" t="s">
        <v>97</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2</v>
      </c>
      <c r="P150" s="21" t="n">
        <f aca="false">IF(OR(O150="",E150=""),"",EDATE(E150,12*O150))</f>
        <v>46183</v>
      </c>
      <c r="Q150" s="21"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3"/>
      <c r="W150" s="23"/>
      <c r="X150" s="23"/>
      <c r="Y150" s="8"/>
      <c r="Z150" s="10" t="n">
        <f aca="false">IF(Q150="","",IF(Q150&lt;=$B$4,N(W150)+N(X150),0))</f>
        <v>0</v>
      </c>
      <c r="AA150" s="10" t="n">
        <f aca="false">IF(OR(LEFT(N150,6)="Larger",LEFT(N150,4)="Memo"),H150,0)</f>
        <v>500</v>
      </c>
    </row>
    <row r="151" customFormat="false" ht="15" hidden="false" customHeight="false" outlineLevel="0" collapsed="false">
      <c r="A151" s="11" t="s">
        <v>46</v>
      </c>
      <c r="B151" s="12" t="str">
        <f aca="false">IFERROR(INDEX(Summary!$B$11:$B$18,MATCH($A151,Summary!$A$11:$A$18,0)),"")</f>
        <v>PA</v>
      </c>
      <c r="C151" s="11" t="s">
        <v>46</v>
      </c>
      <c r="D151" s="11" t="n">
        <v>26</v>
      </c>
      <c r="E151" s="21" t="n">
        <v>45463</v>
      </c>
      <c r="F151" s="11" t="s">
        <v>390</v>
      </c>
      <c r="G151" s="11"/>
      <c r="H151" s="10" t="n">
        <v>995</v>
      </c>
      <c r="I151" s="11" t="s">
        <v>391</v>
      </c>
      <c r="J151" s="11" t="s">
        <v>97</v>
      </c>
      <c r="K151" s="22" t="n">
        <f aca="false">IF(E151="","",($B$4-E151)/365.25)</f>
        <v>2.2943189596167</v>
      </c>
      <c r="L151" s="11" t="str">
        <f aca="false">IF(K151="","no date",IF(K151&lt;1,"0-1 yrs",IF(K151&lt;2,"1-2 yrs",IF(K151&lt;3,"2-3 yrs",IF(K151&lt;5,"3-5 yrs","5+ yrs")))))</f>
        <v>2-3 yrs</v>
      </c>
      <c r="M151" s="11" t="s">
        <v>97</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2</v>
      </c>
      <c r="P151" s="21" t="n">
        <f aca="false">IF(OR(O151="",E151=""),"",EDATE(E151,12*O151))</f>
        <v>46193</v>
      </c>
      <c r="Q151" s="21"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3"/>
      <c r="W151" s="23"/>
      <c r="X151" s="23"/>
      <c r="Y151" s="8"/>
      <c r="Z151" s="10" t="n">
        <f aca="false">IF(Q151="","",IF(Q151&lt;=$B$4,N(W151)+N(X151),0))</f>
        <v>0</v>
      </c>
      <c r="AA151" s="10" t="n">
        <f aca="false">IF(OR(LEFT(N151,6)="Larger",LEFT(N151,4)="Memo"),H151,0)</f>
        <v>0</v>
      </c>
    </row>
    <row r="152" customFormat="false" ht="15" hidden="false" customHeight="false" outlineLevel="0" collapsed="false">
      <c r="A152" s="11" t="s">
        <v>46</v>
      </c>
      <c r="B152" s="12" t="str">
        <f aca="false">IFERROR(INDEX(Summary!$B$11:$B$18,MATCH($A152,Summary!$A$11:$A$18,0)),"")</f>
        <v>PA</v>
      </c>
      <c r="C152" s="11" t="s">
        <v>46</v>
      </c>
      <c r="D152" s="11" t="n">
        <v>27</v>
      </c>
      <c r="E152" s="21" t="n">
        <v>45463</v>
      </c>
      <c r="F152" s="11" t="s">
        <v>392</v>
      </c>
      <c r="G152" s="11"/>
      <c r="H152" s="10" t="n">
        <v>49</v>
      </c>
      <c r="I152" s="11" t="s">
        <v>393</v>
      </c>
      <c r="J152" s="11" t="s">
        <v>97</v>
      </c>
      <c r="K152" s="22" t="n">
        <f aca="false">IF(E152="","",($B$4-E152)/365.25)</f>
        <v>2.2943189596167</v>
      </c>
      <c r="L152" s="11" t="str">
        <f aca="false">IF(K152="","no date",IF(K152&lt;1,"0-1 yrs",IF(K152&lt;2,"1-2 yrs",IF(K152&lt;3,"2-3 yrs",IF(K152&lt;5,"3-5 yrs","5+ yrs")))))</f>
        <v>2-3 yrs</v>
      </c>
      <c r="M152" s="11" t="s">
        <v>97</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2</v>
      </c>
      <c r="P152" s="21" t="n">
        <f aca="false">IF(OR(O152="",E152=""),"",EDATE(E152,12*O152))</f>
        <v>46193</v>
      </c>
      <c r="Q152" s="21"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3"/>
      <c r="W152" s="23"/>
      <c r="X152" s="23"/>
      <c r="Y152" s="8"/>
      <c r="Z152" s="10" t="n">
        <f aca="false">IF(Q152="","",IF(Q152&lt;=$B$4,N(W152)+N(X152),0))</f>
        <v>0</v>
      </c>
      <c r="AA152" s="10" t="n">
        <f aca="false">IF(OR(LEFT(N152,6)="Larger",LEFT(N152,4)="Memo"),H152,0)</f>
        <v>0</v>
      </c>
    </row>
    <row r="153" customFormat="false" ht="15" hidden="false" customHeight="false" outlineLevel="0" collapsed="false">
      <c r="A153" s="11" t="s">
        <v>46</v>
      </c>
      <c r="B153" s="12" t="str">
        <f aca="false">IFERROR(INDEX(Summary!$B$11:$B$18,MATCH($A153,Summary!$A$11:$A$18,0)),"")</f>
        <v>PA</v>
      </c>
      <c r="C153" s="11" t="s">
        <v>46</v>
      </c>
      <c r="D153" s="11" t="n">
        <v>28</v>
      </c>
      <c r="E153" s="21" t="n">
        <v>45485</v>
      </c>
      <c r="F153" s="11" t="s">
        <v>394</v>
      </c>
      <c r="G153" s="11"/>
      <c r="H153" s="10" t="n">
        <v>1614</v>
      </c>
      <c r="I153" s="11" t="s">
        <v>395</v>
      </c>
      <c r="J153" s="11" t="s">
        <v>97</v>
      </c>
      <c r="K153" s="22" t="n">
        <f aca="false">IF(E153="","",($B$4-E153)/365.25)</f>
        <v>2.23408624229979</v>
      </c>
      <c r="L153" s="11" t="str">
        <f aca="false">IF(K153="","no date",IF(K153&lt;1,"0-1 yrs",IF(K153&lt;2,"1-2 yrs",IF(K153&lt;3,"2-3 yrs",IF(K153&lt;5,"3-5 yrs","5+ yrs")))))</f>
        <v>2-3 yrs</v>
      </c>
      <c r="M153" s="11" t="s">
        <v>97</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2</v>
      </c>
      <c r="P153" s="21" t="n">
        <f aca="false">IF(OR(O153="",E153=""),"",EDATE(E153,12*O153))</f>
        <v>46215</v>
      </c>
      <c r="Q153" s="21"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3"/>
      <c r="W153" s="23"/>
      <c r="X153" s="23"/>
      <c r="Y153" s="8"/>
      <c r="Z153" s="10" t="n">
        <f aca="false">IF(Q153="","",IF(Q153&lt;=$B$4,N(W153)+N(X153),0))</f>
        <v>0</v>
      </c>
      <c r="AA153" s="10" t="n">
        <f aca="false">IF(OR(LEFT(N153,6)="Larger",LEFT(N153,4)="Memo"),H153,0)</f>
        <v>1614</v>
      </c>
    </row>
    <row r="154" customFormat="false" ht="15" hidden="false" customHeight="false" outlineLevel="0" collapsed="false">
      <c r="A154" s="11" t="s">
        <v>46</v>
      </c>
      <c r="B154" s="12" t="str">
        <f aca="false">IFERROR(INDEX(Summary!$B$11:$B$18,MATCH($A154,Summary!$A$11:$A$18,0)),"")</f>
        <v>PA</v>
      </c>
      <c r="C154" s="11" t="s">
        <v>46</v>
      </c>
      <c r="D154" s="11" t="n">
        <v>29</v>
      </c>
      <c r="E154" s="21" t="n">
        <v>45488</v>
      </c>
      <c r="F154" s="11" t="s">
        <v>396</v>
      </c>
      <c r="G154" s="11"/>
      <c r="H154" s="10" t="n">
        <v>400</v>
      </c>
      <c r="I154" s="11" t="s">
        <v>397</v>
      </c>
      <c r="J154" s="11" t="s">
        <v>97</v>
      </c>
      <c r="K154" s="22" t="n">
        <f aca="false">IF(E154="","",($B$4-E154)/365.25)</f>
        <v>2.2258726899384</v>
      </c>
      <c r="L154" s="11" t="str">
        <f aca="false">IF(K154="","no date",IF(K154&lt;1,"0-1 yrs",IF(K154&lt;2,"1-2 yrs",IF(K154&lt;3,"2-3 yrs",IF(K154&lt;5,"3-5 yrs","5+ yrs")))))</f>
        <v>2-3 yrs</v>
      </c>
      <c r="M154" s="11" t="s">
        <v>97</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2</v>
      </c>
      <c r="P154" s="21" t="n">
        <f aca="false">IF(OR(O154="",E154=""),"",EDATE(E154,12*O154))</f>
        <v>46218</v>
      </c>
      <c r="Q154" s="21"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3"/>
      <c r="W154" s="23"/>
      <c r="X154" s="23"/>
      <c r="Y154" s="8"/>
      <c r="Z154" s="10" t="n">
        <f aca="false">IF(Q154="","",IF(Q154&lt;=$B$4,N(W154)+N(X154),0))</f>
        <v>0</v>
      </c>
      <c r="AA154" s="10" t="n">
        <f aca="false">IF(OR(LEFT(N154,6)="Larger",LEFT(N154,4)="Memo"),H154,0)</f>
        <v>400</v>
      </c>
    </row>
    <row r="155" customFormat="false" ht="15" hidden="false" customHeight="false" outlineLevel="0" collapsed="false">
      <c r="A155" s="11" t="s">
        <v>46</v>
      </c>
      <c r="B155" s="12" t="str">
        <f aca="false">IFERROR(INDEX(Summary!$B$11:$B$18,MATCH($A155,Summary!$A$11:$A$18,0)),"")</f>
        <v>PA</v>
      </c>
      <c r="C155" s="11" t="s">
        <v>46</v>
      </c>
      <c r="D155" s="11" t="n">
        <v>30</v>
      </c>
      <c r="E155" s="21" t="n">
        <v>45499</v>
      </c>
      <c r="F155" s="11" t="s">
        <v>398</v>
      </c>
      <c r="G155" s="11"/>
      <c r="H155" s="10" t="n">
        <v>400</v>
      </c>
      <c r="I155" s="11" t="s">
        <v>399</v>
      </c>
      <c r="J155" s="11" t="s">
        <v>97</v>
      </c>
      <c r="K155" s="22" t="n">
        <f aca="false">IF(E155="","",($B$4-E155)/365.25)</f>
        <v>2.19575633127995</v>
      </c>
      <c r="L155" s="11" t="str">
        <f aca="false">IF(K155="","no date",IF(K155&lt;1,"0-1 yrs",IF(K155&lt;2,"1-2 yrs",IF(K155&lt;3,"2-3 yrs",IF(K155&lt;5,"3-5 yrs","5+ yrs")))))</f>
        <v>2-3 yrs</v>
      </c>
      <c r="M155" s="11" t="s">
        <v>97</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2</v>
      </c>
      <c r="P155" s="21" t="n">
        <f aca="false">IF(OR(O155="",E155=""),"",EDATE(E155,12*O155))</f>
        <v>46229</v>
      </c>
      <c r="Q155" s="21"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3"/>
      <c r="W155" s="23"/>
      <c r="X155" s="23"/>
      <c r="Y155" s="8"/>
      <c r="Z155" s="10" t="n">
        <f aca="false">IF(Q155="","",IF(Q155&lt;=$B$4,N(W155)+N(X155),0))</f>
        <v>0</v>
      </c>
      <c r="AA155" s="10" t="n">
        <f aca="false">IF(OR(LEFT(N155,6)="Larger",LEFT(N155,4)="Memo"),H155,0)</f>
        <v>400</v>
      </c>
    </row>
    <row r="156" customFormat="false" ht="15" hidden="false" customHeight="false" outlineLevel="0" collapsed="false">
      <c r="A156" s="11" t="s">
        <v>46</v>
      </c>
      <c r="B156" s="12" t="str">
        <f aca="false">IFERROR(INDEX(Summary!$B$11:$B$18,MATCH($A156,Summary!$A$11:$A$18,0)),"")</f>
        <v>PA</v>
      </c>
      <c r="C156" s="11" t="s">
        <v>46</v>
      </c>
      <c r="D156" s="11" t="n">
        <v>31</v>
      </c>
      <c r="E156" s="21" t="n">
        <v>45524</v>
      </c>
      <c r="F156" s="11" t="s">
        <v>400</v>
      </c>
      <c r="G156" s="11"/>
      <c r="H156" s="10" t="n">
        <v>595</v>
      </c>
      <c r="I156" s="11" t="s">
        <v>401</v>
      </c>
      <c r="J156" s="11" t="s">
        <v>97</v>
      </c>
      <c r="K156" s="22" t="n">
        <f aca="false">IF(E156="","",($B$4-E156)/365.25)</f>
        <v>2.12731006160164</v>
      </c>
      <c r="L156" s="11" t="str">
        <f aca="false">IF(K156="","no date",IF(K156&lt;1,"0-1 yrs",IF(K156&lt;2,"1-2 yrs",IF(K156&lt;3,"2-3 yrs",IF(K156&lt;5,"3-5 yrs","5+ yrs")))))</f>
        <v>2-3 yrs</v>
      </c>
      <c r="M156" s="11" t="s">
        <v>97</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2</v>
      </c>
      <c r="P156" s="21" t="n">
        <f aca="false">IF(OR(O156="",E156=""),"",EDATE(E156,12*O156))</f>
        <v>46254</v>
      </c>
      <c r="Q156" s="21"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3"/>
      <c r="W156" s="23"/>
      <c r="X156" s="23"/>
      <c r="Y156" s="8"/>
      <c r="Z156" s="10" t="n">
        <f aca="false">IF(Q156="","",IF(Q156&lt;=$B$4,N(W156)+N(X156),0))</f>
        <v>0</v>
      </c>
      <c r="AA156" s="10" t="n">
        <f aca="false">IF(OR(LEFT(N156,6)="Larger",LEFT(N156,4)="Memo"),H156,0)</f>
        <v>0</v>
      </c>
    </row>
    <row r="157" customFormat="false" ht="15" hidden="false" customHeight="false" outlineLevel="0" collapsed="false">
      <c r="A157" s="11" t="s">
        <v>46</v>
      </c>
      <c r="B157" s="12" t="str">
        <f aca="false">IFERROR(INDEX(Summary!$B$11:$B$18,MATCH($A157,Summary!$A$11:$A$18,0)),"")</f>
        <v>PA</v>
      </c>
      <c r="C157" s="11" t="s">
        <v>46</v>
      </c>
      <c r="D157" s="11" t="n">
        <v>32</v>
      </c>
      <c r="E157" s="21" t="n">
        <v>45532</v>
      </c>
      <c r="F157" s="11" t="s">
        <v>402</v>
      </c>
      <c r="G157" s="11"/>
      <c r="H157" s="10" t="n">
        <v>823.06</v>
      </c>
      <c r="I157" s="11" t="s">
        <v>403</v>
      </c>
      <c r="J157" s="11" t="s">
        <v>97</v>
      </c>
      <c r="K157" s="22" t="n">
        <f aca="false">IF(E157="","",($B$4-E157)/365.25)</f>
        <v>2.10540725530459</v>
      </c>
      <c r="L157" s="11" t="str">
        <f aca="false">IF(K157="","no date",IF(K157&lt;1,"0-1 yrs",IF(K157&lt;2,"1-2 yrs",IF(K157&lt;3,"2-3 yrs",IF(K157&lt;5,"3-5 yrs","5+ yrs")))))</f>
        <v>2-3 yrs</v>
      </c>
      <c r="M157" s="11" t="s">
        <v>97</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2</v>
      </c>
      <c r="P157" s="21" t="n">
        <f aca="false">IF(OR(O157="",E157=""),"",EDATE(E157,12*O157))</f>
        <v>46262</v>
      </c>
      <c r="Q157" s="21"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3"/>
      <c r="W157" s="23"/>
      <c r="X157" s="23"/>
      <c r="Y157" s="8"/>
      <c r="Z157" s="10" t="n">
        <f aca="false">IF(Q157="","",IF(Q157&lt;=$B$4,N(W157)+N(X157),0))</f>
        <v>0</v>
      </c>
      <c r="AA157" s="10" t="n">
        <f aca="false">IF(OR(LEFT(N157,6)="Larger",LEFT(N157,4)="Memo"),H157,0)</f>
        <v>823.06</v>
      </c>
    </row>
    <row r="158" customFormat="false" ht="15" hidden="false" customHeight="false" outlineLevel="0" collapsed="false">
      <c r="A158" s="11" t="s">
        <v>46</v>
      </c>
      <c r="B158" s="12" t="str">
        <f aca="false">IFERROR(INDEX(Summary!$B$11:$B$18,MATCH($A158,Summary!$A$11:$A$18,0)),"")</f>
        <v>PA</v>
      </c>
      <c r="C158" s="11" t="s">
        <v>46</v>
      </c>
      <c r="D158" s="11" t="n">
        <v>33</v>
      </c>
      <c r="E158" s="21" t="n">
        <v>45588</v>
      </c>
      <c r="F158" s="11" t="s">
        <v>404</v>
      </c>
      <c r="G158" s="11"/>
      <c r="H158" s="10" t="n">
        <v>495</v>
      </c>
      <c r="I158" s="11" t="s">
        <v>162</v>
      </c>
      <c r="J158" s="11" t="s">
        <v>97</v>
      </c>
      <c r="K158" s="22" t="n">
        <f aca="false">IF(E158="","",($B$4-E158)/365.25)</f>
        <v>1.95208761122519</v>
      </c>
      <c r="L158" s="11" t="str">
        <f aca="false">IF(K158="","no date",IF(K158&lt;1,"0-1 yrs",IF(K158&lt;2,"1-2 yrs",IF(K158&lt;3,"2-3 yrs",IF(K158&lt;5,"3-5 yrs","5+ yrs")))))</f>
        <v>1-2 yrs</v>
      </c>
      <c r="M158" s="11" t="s">
        <v>97</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2</v>
      </c>
      <c r="P158" s="21" t="n">
        <f aca="false">IF(OR(O158="",E158=""),"",EDATE(E158,12*O158))</f>
        <v>46318</v>
      </c>
      <c r="Q158" s="21"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3"/>
      <c r="W158" s="23"/>
      <c r="X158" s="23"/>
      <c r="Y158" s="8"/>
      <c r="Z158" s="10" t="n">
        <f aca="false">IF(Q158="","",IF(Q158&lt;=$B$4,N(W158)+N(X158),0))</f>
        <v>0</v>
      </c>
      <c r="AA158" s="10" t="n">
        <f aca="false">IF(OR(LEFT(N158,6)="Larger",LEFT(N158,4)="Memo"),H158,0)</f>
        <v>0</v>
      </c>
    </row>
    <row r="159" customFormat="false" ht="15" hidden="false" customHeight="false" outlineLevel="0" collapsed="false">
      <c r="A159" s="11" t="s">
        <v>46</v>
      </c>
      <c r="B159" s="12" t="str">
        <f aca="false">IFERROR(INDEX(Summary!$B$11:$B$18,MATCH($A159,Summary!$A$11:$A$18,0)),"")</f>
        <v>PA</v>
      </c>
      <c r="C159" s="11" t="s">
        <v>46</v>
      </c>
      <c r="D159" s="11" t="n">
        <v>34</v>
      </c>
      <c r="E159" s="21" t="n">
        <v>45597</v>
      </c>
      <c r="F159" s="11" t="s">
        <v>405</v>
      </c>
      <c r="G159" s="11"/>
      <c r="H159" s="10" t="n">
        <v>152</v>
      </c>
      <c r="I159" s="11"/>
      <c r="J159" s="11" t="s">
        <v>97</v>
      </c>
      <c r="K159" s="22" t="n">
        <f aca="false">IF(E159="","",($B$4-E159)/365.25)</f>
        <v>1.927446954141</v>
      </c>
      <c r="L159" s="11" t="str">
        <f aca="false">IF(K159="","no date",IF(K159&lt;1,"0-1 yrs",IF(K159&lt;2,"1-2 yrs",IF(K159&lt;3,"2-3 yrs",IF(K159&lt;5,"3-5 yrs","5+ yrs")))))</f>
        <v>1-2 yrs</v>
      </c>
      <c r="M159" s="11" t="s">
        <v>97</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2</v>
      </c>
      <c r="P159" s="21" t="n">
        <f aca="false">IF(OR(O159="",E159=""),"",EDATE(E159,12*O159))</f>
        <v>46327</v>
      </c>
      <c r="Q159" s="21"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3"/>
      <c r="W159" s="23"/>
      <c r="X159" s="23"/>
      <c r="Y159" s="8"/>
      <c r="Z159" s="10" t="n">
        <f aca="false">IF(Q159="","",IF(Q159&lt;=$B$4,N(W159)+N(X159),0))</f>
        <v>0</v>
      </c>
      <c r="AA159" s="10" t="n">
        <f aca="false">IF(OR(LEFT(N159,6)="Larger",LEFT(N159,4)="Memo"),H159,0)</f>
        <v>0</v>
      </c>
    </row>
    <row r="160" customFormat="false" ht="15" hidden="false" customHeight="false" outlineLevel="0" collapsed="false">
      <c r="A160" s="11" t="s">
        <v>46</v>
      </c>
      <c r="B160" s="12" t="str">
        <f aca="false">IFERROR(INDEX(Summary!$B$11:$B$18,MATCH($A160,Summary!$A$11:$A$18,0)),"")</f>
        <v>PA</v>
      </c>
      <c r="C160" s="11" t="s">
        <v>46</v>
      </c>
      <c r="D160" s="11" t="n">
        <v>35</v>
      </c>
      <c r="E160" s="21" t="n">
        <v>45611</v>
      </c>
      <c r="F160" s="11" t="s">
        <v>406</v>
      </c>
      <c r="G160" s="11"/>
      <c r="H160" s="10" t="n">
        <v>270</v>
      </c>
      <c r="I160" s="11" t="s">
        <v>407</v>
      </c>
      <c r="J160" s="11" t="s">
        <v>97</v>
      </c>
      <c r="K160" s="22" t="n">
        <f aca="false">IF(E160="","",($B$4-E160)/365.25)</f>
        <v>1.88911704312115</v>
      </c>
      <c r="L160" s="11" t="str">
        <f aca="false">IF(K160="","no date",IF(K160&lt;1,"0-1 yrs",IF(K160&lt;2,"1-2 yrs",IF(K160&lt;3,"2-3 yrs",IF(K160&lt;5,"3-5 yrs","5+ yrs")))))</f>
        <v>1-2 yrs</v>
      </c>
      <c r="M160" s="11" t="s">
        <v>97</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2</v>
      </c>
      <c r="P160" s="21" t="n">
        <f aca="false">IF(OR(O160="",E160=""),"",EDATE(E160,12*O160))</f>
        <v>46341</v>
      </c>
      <c r="Q160" s="21"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3"/>
      <c r="W160" s="23"/>
      <c r="X160" s="23"/>
      <c r="Y160" s="8"/>
      <c r="Z160" s="10" t="n">
        <f aca="false">IF(Q160="","",IF(Q160&lt;=$B$4,N(W160)+N(X160),0))</f>
        <v>0</v>
      </c>
      <c r="AA160" s="10" t="n">
        <f aca="false">IF(OR(LEFT(N160,6)="Larger",LEFT(N160,4)="Memo"),H160,0)</f>
        <v>270</v>
      </c>
    </row>
    <row r="161" customFormat="false" ht="15" hidden="false" customHeight="false" outlineLevel="0" collapsed="false">
      <c r="A161" s="11" t="s">
        <v>46</v>
      </c>
      <c r="B161" s="12" t="str">
        <f aca="false">IFERROR(INDEX(Summary!$B$11:$B$18,MATCH($A161,Summary!$A$11:$A$18,0)),"")</f>
        <v>PA</v>
      </c>
      <c r="C161" s="11" t="s">
        <v>46</v>
      </c>
      <c r="D161" s="11" t="n">
        <v>36</v>
      </c>
      <c r="E161" s="21" t="n">
        <v>45630</v>
      </c>
      <c r="F161" s="11" t="s">
        <v>408</v>
      </c>
      <c r="G161" s="11"/>
      <c r="H161" s="10" t="n">
        <v>2936.25</v>
      </c>
      <c r="I161" s="11" t="s">
        <v>409</v>
      </c>
      <c r="J161" s="11" t="s">
        <v>97</v>
      </c>
      <c r="K161" s="22" t="n">
        <f aca="false">IF(E161="","",($B$4-E161)/365.25)</f>
        <v>1.83709787816564</v>
      </c>
      <c r="L161" s="11" t="str">
        <f aca="false">IF(K161="","no date",IF(K161&lt;1,"0-1 yrs",IF(K161&lt;2,"1-2 yrs",IF(K161&lt;3,"2-3 yrs",IF(K161&lt;5,"3-5 yrs","5+ yrs")))))</f>
        <v>1-2 yrs</v>
      </c>
      <c r="M161" s="11" t="s">
        <v>97</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2</v>
      </c>
      <c r="P161" s="21" t="n">
        <f aca="false">IF(OR(O161="",E161=""),"",EDATE(E161,12*O161))</f>
        <v>46360</v>
      </c>
      <c r="Q161" s="21"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3"/>
      <c r="W161" s="23"/>
      <c r="X161" s="23"/>
      <c r="Y161" s="8"/>
      <c r="Z161" s="10" t="n">
        <f aca="false">IF(Q161="","",IF(Q161&lt;=$B$4,N(W161)+N(X161),0))</f>
        <v>0</v>
      </c>
      <c r="AA161" s="10" t="n">
        <f aca="false">IF(OR(LEFT(N161,6)="Larger",LEFT(N161,4)="Memo"),H161,0)</f>
        <v>2936.25</v>
      </c>
    </row>
    <row r="162" customFormat="false" ht="15" hidden="false" customHeight="false" outlineLevel="0" collapsed="false">
      <c r="A162" s="11" t="s">
        <v>46</v>
      </c>
      <c r="B162" s="12" t="str">
        <f aca="false">IFERROR(INDEX(Summary!$B$11:$B$18,MATCH($A162,Summary!$A$11:$A$18,0)),"")</f>
        <v>PA</v>
      </c>
      <c r="C162" s="11" t="s">
        <v>46</v>
      </c>
      <c r="D162" s="11" t="n">
        <v>37</v>
      </c>
      <c r="E162" s="21" t="n">
        <v>45630</v>
      </c>
      <c r="F162" s="11" t="s">
        <v>410</v>
      </c>
      <c r="G162" s="11"/>
      <c r="H162" s="10" t="n">
        <v>400</v>
      </c>
      <c r="I162" s="11" t="s">
        <v>409</v>
      </c>
      <c r="J162" s="11" t="s">
        <v>97</v>
      </c>
      <c r="K162" s="22" t="n">
        <f aca="false">IF(E162="","",($B$4-E162)/365.25)</f>
        <v>1.83709787816564</v>
      </c>
      <c r="L162" s="11" t="str">
        <f aca="false">IF(K162="","no date",IF(K162&lt;1,"0-1 yrs",IF(K162&lt;2,"1-2 yrs",IF(K162&lt;3,"2-3 yrs",IF(K162&lt;5,"3-5 yrs","5+ yrs")))))</f>
        <v>1-2 yrs</v>
      </c>
      <c r="M162" s="11" t="s">
        <v>97</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2</v>
      </c>
      <c r="P162" s="21" t="n">
        <f aca="false">IF(OR(O162="",E162=""),"",EDATE(E162,12*O162))</f>
        <v>46360</v>
      </c>
      <c r="Q162" s="21"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3"/>
      <c r="W162" s="23"/>
      <c r="X162" s="23"/>
      <c r="Y162" s="8"/>
      <c r="Z162" s="10" t="n">
        <f aca="false">IF(Q162="","",IF(Q162&lt;=$B$4,N(W162)+N(X162),0))</f>
        <v>0</v>
      </c>
      <c r="AA162" s="10" t="n">
        <f aca="false">IF(OR(LEFT(N162,6)="Larger",LEFT(N162,4)="Memo"),H162,0)</f>
        <v>400</v>
      </c>
    </row>
    <row r="163" customFormat="false" ht="15" hidden="false" customHeight="false" outlineLevel="0" collapsed="false">
      <c r="A163" s="11" t="s">
        <v>46</v>
      </c>
      <c r="B163" s="12" t="str">
        <f aca="false">IFERROR(INDEX(Summary!$B$11:$B$18,MATCH($A163,Summary!$A$11:$A$18,0)),"")</f>
        <v>PA</v>
      </c>
      <c r="C163" s="11" t="s">
        <v>46</v>
      </c>
      <c r="D163" s="11" t="n">
        <v>38</v>
      </c>
      <c r="E163" s="21" t="n">
        <v>45630</v>
      </c>
      <c r="F163" s="11" t="s">
        <v>411</v>
      </c>
      <c r="G163" s="11"/>
      <c r="H163" s="10" t="n">
        <v>595</v>
      </c>
      <c r="I163" s="11" t="s">
        <v>409</v>
      </c>
      <c r="J163" s="11" t="s">
        <v>97</v>
      </c>
      <c r="K163" s="22" t="n">
        <f aca="false">IF(E163="","",($B$4-E163)/365.25)</f>
        <v>1.83709787816564</v>
      </c>
      <c r="L163" s="11" t="str">
        <f aca="false">IF(K163="","no date",IF(K163&lt;1,"0-1 yrs",IF(K163&lt;2,"1-2 yrs",IF(K163&lt;3,"2-3 yrs",IF(K163&lt;5,"3-5 yrs","5+ yrs")))))</f>
        <v>1-2 yrs</v>
      </c>
      <c r="M163" s="11" t="s">
        <v>97</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2</v>
      </c>
      <c r="P163" s="21" t="n">
        <f aca="false">IF(OR(O163="",E163=""),"",EDATE(E163,12*O163))</f>
        <v>46360</v>
      </c>
      <c r="Q163" s="21"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3"/>
      <c r="W163" s="23"/>
      <c r="X163" s="23"/>
      <c r="Y163" s="8"/>
      <c r="Z163" s="10" t="n">
        <f aca="false">IF(Q163="","",IF(Q163&lt;=$B$4,N(W163)+N(X163),0))</f>
        <v>0</v>
      </c>
      <c r="AA163" s="10" t="n">
        <f aca="false">IF(OR(LEFT(N163,6)="Larger",LEFT(N163,4)="Memo"),H163,0)</f>
        <v>0</v>
      </c>
    </row>
    <row r="164" customFormat="false" ht="15" hidden="false" customHeight="false" outlineLevel="0" collapsed="false">
      <c r="A164" s="11" t="s">
        <v>46</v>
      </c>
      <c r="B164" s="12" t="str">
        <f aca="false">IFERROR(INDEX(Summary!$B$11:$B$18,MATCH($A164,Summary!$A$11:$A$18,0)),"")</f>
        <v>PA</v>
      </c>
      <c r="C164" s="11" t="s">
        <v>46</v>
      </c>
      <c r="D164" s="11" t="n">
        <v>39</v>
      </c>
      <c r="E164" s="21" t="n">
        <v>45688</v>
      </c>
      <c r="F164" s="11" t="s">
        <v>412</v>
      </c>
      <c r="G164" s="11"/>
      <c r="H164" s="10" t="n">
        <v>2500</v>
      </c>
      <c r="I164" s="11"/>
      <c r="J164" s="11" t="s">
        <v>97</v>
      </c>
      <c r="K164" s="22" t="n">
        <f aca="false">IF(E164="","",($B$4-E164)/365.25)</f>
        <v>1.67830253251198</v>
      </c>
      <c r="L164" s="11" t="str">
        <f aca="false">IF(K164="","no date",IF(K164&lt;1,"0-1 yrs",IF(K164&lt;2,"1-2 yrs",IF(K164&lt;3,"2-3 yrs",IF(K164&lt;5,"3-5 yrs","5+ yrs")))))</f>
        <v>1-2 yrs</v>
      </c>
      <c r="M164" s="11" t="s">
        <v>97</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2</v>
      </c>
      <c r="P164" s="21" t="n">
        <f aca="false">IF(OR(O164="",E164=""),"",EDATE(E164,12*O164))</f>
        <v>46418</v>
      </c>
      <c r="Q164" s="21" t="n">
        <f aca="false">IF(E164="","",IFERROR(EDATE(E164,12*INDEX('State Rules'!$E$5:$E$11,MATCH($B164,'State Rules'!$A$5:$A$11,0))),""))</f>
        <v>46783</v>
      </c>
      <c r="R164" s="11" t="str">
        <f aca="false">IF(P164="","",IFERROR(IF(P164&lt;=INDEX('State Rules'!$I$5:$I$11,MATCH($B164,'State Rules'!$A$5:$A$11,0)),"Yes","No"),""))</f>
        <v>No</v>
      </c>
      <c r="S164" s="11" t="str">
        <f aca="false">IF(Q164="","",IFERROR(IF(Q164&lt;=INDEX('State Rules'!$I$5:$I$11,MATCH($B164,'State Rules'!$A$5:$A$11,0)),"Yes","No"),""))</f>
        <v>No</v>
      </c>
      <c r="T164" s="8"/>
      <c r="U164" s="8"/>
      <c r="V164" s="23"/>
      <c r="W164" s="23"/>
      <c r="X164" s="23"/>
      <c r="Y164" s="8"/>
      <c r="Z164" s="10" t="n">
        <f aca="false">IF(Q164="","",IF(Q164&lt;=$B$4,N(W164)+N(X164),0))</f>
        <v>0</v>
      </c>
      <c r="AA164" s="10" t="n">
        <f aca="false">IF(OR(LEFT(N164,6)="Larger",LEFT(N164,4)="Memo"),H164,0)</f>
        <v>2500</v>
      </c>
    </row>
    <row r="165" customFormat="false" ht="15" hidden="false" customHeight="false" outlineLevel="0" collapsed="false">
      <c r="A165" s="11" t="s">
        <v>46</v>
      </c>
      <c r="B165" s="12" t="str">
        <f aca="false">IFERROR(INDEX(Summary!$B$11:$B$18,MATCH($A165,Summary!$A$11:$A$18,0)),"")</f>
        <v>PA</v>
      </c>
      <c r="C165" s="11" t="s">
        <v>46</v>
      </c>
      <c r="D165" s="11" t="n">
        <v>40</v>
      </c>
      <c r="E165" s="21" t="n">
        <v>45698</v>
      </c>
      <c r="F165" s="11" t="s">
        <v>413</v>
      </c>
      <c r="G165" s="11"/>
      <c r="H165" s="10" t="n">
        <v>595</v>
      </c>
      <c r="I165" s="11" t="s">
        <v>414</v>
      </c>
      <c r="J165" s="11" t="s">
        <v>97</v>
      </c>
      <c r="K165" s="22" t="n">
        <f aca="false">IF(E165="","",($B$4-E165)/365.25)</f>
        <v>1.65092402464066</v>
      </c>
      <c r="L165" s="11" t="str">
        <f aca="false">IF(K165="","no date",IF(K165&lt;1,"0-1 yrs",IF(K165&lt;2,"1-2 yrs",IF(K165&lt;3,"2-3 yrs",IF(K165&lt;5,"3-5 yrs","5+ yrs")))))</f>
        <v>1-2 yrs</v>
      </c>
      <c r="M165" s="11" t="s">
        <v>97</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2</v>
      </c>
      <c r="P165" s="21" t="n">
        <f aca="false">IF(OR(O165="",E165=""),"",EDATE(E165,12*O165))</f>
        <v>46428</v>
      </c>
      <c r="Q165" s="21" t="n">
        <f aca="false">IF(E165="","",IFERROR(EDATE(E165,12*INDEX('State Rules'!$E$5:$E$11,MATCH($B165,'State Rules'!$A$5:$A$11,0))),""))</f>
        <v>46793</v>
      </c>
      <c r="R165" s="11" t="str">
        <f aca="false">IF(P165="","",IFERROR(IF(P165&lt;=INDEX('State Rules'!$I$5:$I$11,MATCH($B165,'State Rules'!$A$5:$A$11,0)),"Yes","No"),""))</f>
        <v>No</v>
      </c>
      <c r="S165" s="11" t="str">
        <f aca="false">IF(Q165="","",IFERROR(IF(Q165&lt;=INDEX('State Rules'!$I$5:$I$11,MATCH($B165,'State Rules'!$A$5:$A$11,0)),"Yes","No"),""))</f>
        <v>No</v>
      </c>
      <c r="T165" s="8"/>
      <c r="U165" s="8"/>
      <c r="V165" s="23"/>
      <c r="W165" s="23"/>
      <c r="X165" s="23"/>
      <c r="Y165" s="8"/>
      <c r="Z165" s="10" t="n">
        <f aca="false">IF(Q165="","",IF(Q165&lt;=$B$4,N(W165)+N(X165),0))</f>
        <v>0</v>
      </c>
      <c r="AA165" s="10" t="n">
        <f aca="false">IF(OR(LEFT(N165,6)="Larger",LEFT(N165,4)="Memo"),H165,0)</f>
        <v>0</v>
      </c>
    </row>
    <row r="166" customFormat="false" ht="15" hidden="false" customHeight="false" outlineLevel="0" collapsed="false">
      <c r="A166" s="11" t="s">
        <v>46</v>
      </c>
      <c r="B166" s="12" t="str">
        <f aca="false">IFERROR(INDEX(Summary!$B$11:$B$18,MATCH($A166,Summary!$A$11:$A$18,0)),"")</f>
        <v>PA</v>
      </c>
      <c r="C166" s="11" t="s">
        <v>46</v>
      </c>
      <c r="D166" s="11" t="n">
        <v>41</v>
      </c>
      <c r="E166" s="21" t="n">
        <v>45715</v>
      </c>
      <c r="F166" s="11" t="s">
        <v>415</v>
      </c>
      <c r="G166" s="11"/>
      <c r="H166" s="10" t="n">
        <v>295</v>
      </c>
      <c r="I166" s="11" t="s">
        <v>416</v>
      </c>
      <c r="J166" s="11" t="s">
        <v>97</v>
      </c>
      <c r="K166" s="22" t="n">
        <f aca="false">IF(E166="","",($B$4-E166)/365.25)</f>
        <v>1.60438056125941</v>
      </c>
      <c r="L166" s="11" t="str">
        <f aca="false">IF(K166="","no date",IF(K166&lt;1,"0-1 yrs",IF(K166&lt;2,"1-2 yrs",IF(K166&lt;3,"2-3 yrs",IF(K166&lt;5,"3-5 yrs","5+ yrs")))))</f>
        <v>1-2 yrs</v>
      </c>
      <c r="M166" s="11" t="s">
        <v>97</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2</v>
      </c>
      <c r="P166" s="21" t="n">
        <f aca="false">IF(OR(O166="",E166=""),"",EDATE(E166,12*O166))</f>
        <v>46445</v>
      </c>
      <c r="Q166" s="21" t="n">
        <f aca="false">IF(E166="","",IFERROR(EDATE(E166,12*INDEX('State Rules'!$E$5:$E$11,MATCH($B166,'State Rules'!$A$5:$A$11,0))),""))</f>
        <v>46810</v>
      </c>
      <c r="R166" s="11" t="str">
        <f aca="false">IF(P166="","",IFERROR(IF(P166&lt;=INDEX('State Rules'!$I$5:$I$11,MATCH($B166,'State Rules'!$A$5:$A$11,0)),"Yes","No"),""))</f>
        <v>No</v>
      </c>
      <c r="S166" s="11" t="str">
        <f aca="false">IF(Q166="","",IFERROR(IF(Q166&lt;=INDEX('State Rules'!$I$5:$I$11,MATCH($B166,'State Rules'!$A$5:$A$11,0)),"Yes","No"),""))</f>
        <v>No</v>
      </c>
      <c r="T166" s="8"/>
      <c r="U166" s="8"/>
      <c r="V166" s="23"/>
      <c r="W166" s="23"/>
      <c r="X166" s="23"/>
      <c r="Y166" s="8"/>
      <c r="Z166" s="10" t="n">
        <f aca="false">IF(Q166="","",IF(Q166&lt;=$B$4,N(W166)+N(X166),0))</f>
        <v>0</v>
      </c>
      <c r="AA166" s="10" t="n">
        <f aca="false">IF(OR(LEFT(N166,6)="Larger",LEFT(N166,4)="Memo"),H166,0)</f>
        <v>0</v>
      </c>
    </row>
    <row r="167" customFormat="false" ht="15" hidden="false" customHeight="false" outlineLevel="0" collapsed="false">
      <c r="A167" s="11" t="s">
        <v>46</v>
      </c>
      <c r="B167" s="12" t="str">
        <f aca="false">IFERROR(INDEX(Summary!$B$11:$B$18,MATCH($A167,Summary!$A$11:$A$18,0)),"")</f>
        <v>PA</v>
      </c>
      <c r="C167" s="11" t="s">
        <v>46</v>
      </c>
      <c r="D167" s="11" t="n">
        <v>42</v>
      </c>
      <c r="E167" s="21" t="n">
        <v>45848</v>
      </c>
      <c r="F167" s="11" t="s">
        <v>417</v>
      </c>
      <c r="G167" s="11"/>
      <c r="H167" s="10" t="n">
        <v>100</v>
      </c>
      <c r="I167" s="11" t="s">
        <v>418</v>
      </c>
      <c r="J167" s="11" t="s">
        <v>97</v>
      </c>
      <c r="K167" s="22" t="n">
        <f aca="false">IF(E167="","",($B$4-E167)/365.25)</f>
        <v>1.24024640657084</v>
      </c>
      <c r="L167" s="11" t="str">
        <f aca="false">IF(K167="","no date",IF(K167&lt;1,"0-1 yrs",IF(K167&lt;2,"1-2 yrs",IF(K167&lt;3,"2-3 yrs",IF(K167&lt;5,"3-5 yrs","5+ yrs")))))</f>
        <v>1-2 yrs</v>
      </c>
      <c r="M167" s="11" t="s">
        <v>97</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2</v>
      </c>
      <c r="P167" s="21" t="n">
        <f aca="false">IF(OR(O167="",E167=""),"",EDATE(E167,12*O167))</f>
        <v>46578</v>
      </c>
      <c r="Q167" s="21" t="n">
        <f aca="false">IF(E167="","",IFERROR(EDATE(E167,12*INDEX('State Rules'!$E$5:$E$11,MATCH($B167,'State Rules'!$A$5:$A$11,0))),""))</f>
        <v>46944</v>
      </c>
      <c r="R167" s="11" t="str">
        <f aca="false">IF(P167="","",IFERROR(IF(P167&lt;=INDEX('State Rules'!$I$5:$I$11,MATCH($B167,'State Rules'!$A$5:$A$11,0)),"Yes","No"),""))</f>
        <v>No</v>
      </c>
      <c r="S167" s="11" t="str">
        <f aca="false">IF(Q167="","",IFERROR(IF(Q167&lt;=INDEX('State Rules'!$I$5:$I$11,MATCH($B167,'State Rules'!$A$5:$A$11,0)),"Yes","No"),""))</f>
        <v>No</v>
      </c>
      <c r="T167" s="8"/>
      <c r="U167" s="8"/>
      <c r="V167" s="23"/>
      <c r="W167" s="23"/>
      <c r="X167" s="23"/>
      <c r="Y167" s="8"/>
      <c r="Z167" s="10" t="n">
        <f aca="false">IF(Q167="","",IF(Q167&lt;=$B$4,N(W167)+N(X167),0))</f>
        <v>0</v>
      </c>
      <c r="AA167" s="10" t="n">
        <f aca="false">IF(OR(LEFT(N167,6)="Larger",LEFT(N167,4)="Memo"),H167,0)</f>
        <v>0</v>
      </c>
    </row>
    <row r="168" customFormat="false" ht="15" hidden="false" customHeight="false" outlineLevel="0" collapsed="false">
      <c r="A168" s="11" t="s">
        <v>46</v>
      </c>
      <c r="B168" s="12" t="str">
        <f aca="false">IFERROR(INDEX(Summary!$B$11:$B$18,MATCH($A168,Summary!$A$11:$A$18,0)),"")</f>
        <v>PA</v>
      </c>
      <c r="C168" s="11" t="s">
        <v>46</v>
      </c>
      <c r="D168" s="11" t="n">
        <v>43</v>
      </c>
      <c r="E168" s="21" t="n">
        <v>45862</v>
      </c>
      <c r="F168" s="11" t="s">
        <v>419</v>
      </c>
      <c r="G168" s="11"/>
      <c r="H168" s="10" t="n">
        <v>49</v>
      </c>
      <c r="I168" s="11" t="s">
        <v>420</v>
      </c>
      <c r="J168" s="11" t="s">
        <v>97</v>
      </c>
      <c r="K168" s="22" t="n">
        <f aca="false">IF(E168="","",($B$4-E168)/365.25)</f>
        <v>1.20191649555099</v>
      </c>
      <c r="L168" s="11" t="str">
        <f aca="false">IF(K168="","no date",IF(K168&lt;1,"0-1 yrs",IF(K168&lt;2,"1-2 yrs",IF(K168&lt;3,"2-3 yrs",IF(K168&lt;5,"3-5 yrs","5+ yrs")))))</f>
        <v>1-2 yrs</v>
      </c>
      <c r="M168" s="11" t="s">
        <v>97</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2</v>
      </c>
      <c r="P168" s="21" t="n">
        <f aca="false">IF(OR(O168="",E168=""),"",EDATE(E168,12*O168))</f>
        <v>46592</v>
      </c>
      <c r="Q168" s="21" t="n">
        <f aca="false">IF(E168="","",IFERROR(EDATE(E168,12*INDEX('State Rules'!$E$5:$E$11,MATCH($B168,'State Rules'!$A$5:$A$11,0))),""))</f>
        <v>46958</v>
      </c>
      <c r="R168" s="11" t="str">
        <f aca="false">IF(P168="","",IFERROR(IF(P168&lt;=INDEX('State Rules'!$I$5:$I$11,MATCH($B168,'State Rules'!$A$5:$A$11,0)),"Yes","No"),""))</f>
        <v>No</v>
      </c>
      <c r="S168" s="11" t="str">
        <f aca="false">IF(Q168="","",IFERROR(IF(Q168&lt;=INDEX('State Rules'!$I$5:$I$11,MATCH($B168,'State Rules'!$A$5:$A$11,0)),"Yes","No"),""))</f>
        <v>No</v>
      </c>
      <c r="T168" s="8"/>
      <c r="U168" s="8"/>
      <c r="V168" s="23"/>
      <c r="W168" s="23"/>
      <c r="X168" s="23"/>
      <c r="Y168" s="8"/>
      <c r="Z168" s="10" t="n">
        <f aca="false">IF(Q168="","",IF(Q168&lt;=$B$4,N(W168)+N(X168),0))</f>
        <v>0</v>
      </c>
      <c r="AA168" s="10" t="n">
        <f aca="false">IF(OR(LEFT(N168,6)="Larger",LEFT(N168,4)="Memo"),H168,0)</f>
        <v>0</v>
      </c>
    </row>
    <row r="169" customFormat="false" ht="15" hidden="false" customHeight="false" outlineLevel="0" collapsed="false">
      <c r="A169" s="11" t="s">
        <v>46</v>
      </c>
      <c r="B169" s="12" t="str">
        <f aca="false">IFERROR(INDEX(Summary!$B$11:$B$18,MATCH($A169,Summary!$A$11:$A$18,0)),"")</f>
        <v>PA</v>
      </c>
      <c r="C169" s="11" t="s">
        <v>46</v>
      </c>
      <c r="D169" s="11" t="n">
        <v>44</v>
      </c>
      <c r="E169" s="21" t="n">
        <v>45862</v>
      </c>
      <c r="F169" s="11" t="s">
        <v>421</v>
      </c>
      <c r="G169" s="11"/>
      <c r="H169" s="10" t="n">
        <v>451</v>
      </c>
      <c r="I169" s="11" t="s">
        <v>422</v>
      </c>
      <c r="J169" s="11" t="s">
        <v>97</v>
      </c>
      <c r="K169" s="22" t="n">
        <f aca="false">IF(E169="","",($B$4-E169)/365.25)</f>
        <v>1.20191649555099</v>
      </c>
      <c r="L169" s="11" t="str">
        <f aca="false">IF(K169="","no date",IF(K169&lt;1,"0-1 yrs",IF(K169&lt;2,"1-2 yrs",IF(K169&lt;3,"2-3 yrs",IF(K169&lt;5,"3-5 yrs","5+ yrs")))))</f>
        <v>1-2 yrs</v>
      </c>
      <c r="M169" s="11" t="s">
        <v>97</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2</v>
      </c>
      <c r="P169" s="21" t="n">
        <f aca="false">IF(OR(O169="",E169=""),"",EDATE(E169,12*O169))</f>
        <v>46592</v>
      </c>
      <c r="Q169" s="21" t="n">
        <f aca="false">IF(E169="","",IFERROR(EDATE(E169,12*INDEX('State Rules'!$E$5:$E$11,MATCH($B169,'State Rules'!$A$5:$A$11,0))),""))</f>
        <v>46958</v>
      </c>
      <c r="R169" s="11" t="str">
        <f aca="false">IF(P169="","",IFERROR(IF(P169&lt;=INDEX('State Rules'!$I$5:$I$11,MATCH($B169,'State Rules'!$A$5:$A$11,0)),"Yes","No"),""))</f>
        <v>No</v>
      </c>
      <c r="S169" s="11" t="str">
        <f aca="false">IF(Q169="","",IFERROR(IF(Q169&lt;=INDEX('State Rules'!$I$5:$I$11,MATCH($B169,'State Rules'!$A$5:$A$11,0)),"Yes","No"),""))</f>
        <v>No</v>
      </c>
      <c r="T169" s="8"/>
      <c r="U169" s="8"/>
      <c r="V169" s="23"/>
      <c r="W169" s="23"/>
      <c r="X169" s="23"/>
      <c r="Y169" s="8"/>
      <c r="Z169" s="10" t="n">
        <f aca="false">IF(Q169="","",IF(Q169&lt;=$B$4,N(W169)+N(X169),0))</f>
        <v>0</v>
      </c>
      <c r="AA169" s="10" t="n">
        <f aca="false">IF(OR(LEFT(N169,6)="Larger",LEFT(N169,4)="Memo"),H169,0)</f>
        <v>451</v>
      </c>
    </row>
    <row r="170" customFormat="false" ht="15" hidden="false" customHeight="false" outlineLevel="0" collapsed="false">
      <c r="A170" s="11" t="s">
        <v>46</v>
      </c>
      <c r="B170" s="12" t="str">
        <f aca="false">IFERROR(INDEX(Summary!$B$11:$B$18,MATCH($A170,Summary!$A$11:$A$18,0)),"")</f>
        <v>PA</v>
      </c>
      <c r="C170" s="11" t="s">
        <v>46</v>
      </c>
      <c r="D170" s="11" t="n">
        <v>45</v>
      </c>
      <c r="E170" s="21" t="n">
        <v>45873</v>
      </c>
      <c r="F170" s="11" t="s">
        <v>423</v>
      </c>
      <c r="G170" s="11"/>
      <c r="H170" s="10" t="n">
        <v>595</v>
      </c>
      <c r="I170" s="11" t="s">
        <v>424</v>
      </c>
      <c r="J170" s="11" t="s">
        <v>97</v>
      </c>
      <c r="K170" s="22" t="n">
        <f aca="false">IF(E170="","",($B$4-E170)/365.25)</f>
        <v>1.17180013689254</v>
      </c>
      <c r="L170" s="11" t="str">
        <f aca="false">IF(K170="","no date",IF(K170&lt;1,"0-1 yrs",IF(K170&lt;2,"1-2 yrs",IF(K170&lt;3,"2-3 yrs",IF(K170&lt;5,"3-5 yrs","5+ yrs")))))</f>
        <v>1-2 yrs</v>
      </c>
      <c r="M170" s="11" t="s">
        <v>97</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2</v>
      </c>
      <c r="P170" s="21" t="n">
        <f aca="false">IF(OR(O170="",E170=""),"",EDATE(E170,12*O170))</f>
        <v>46603</v>
      </c>
      <c r="Q170" s="21" t="n">
        <f aca="false">IF(E170="","",IFERROR(EDATE(E170,12*INDEX('State Rules'!$E$5:$E$11,MATCH($B170,'State Rules'!$A$5:$A$11,0))),""))</f>
        <v>46969</v>
      </c>
      <c r="R170" s="11" t="str">
        <f aca="false">IF(P170="","",IFERROR(IF(P170&lt;=INDEX('State Rules'!$I$5:$I$11,MATCH($B170,'State Rules'!$A$5:$A$11,0)),"Yes","No"),""))</f>
        <v>No</v>
      </c>
      <c r="S170" s="11" t="str">
        <f aca="false">IF(Q170="","",IFERROR(IF(Q170&lt;=INDEX('State Rules'!$I$5:$I$11,MATCH($B170,'State Rules'!$A$5:$A$11,0)),"Yes","No"),""))</f>
        <v>No</v>
      </c>
      <c r="T170" s="8"/>
      <c r="U170" s="8"/>
      <c r="V170" s="23"/>
      <c r="W170" s="23"/>
      <c r="X170" s="23"/>
      <c r="Y170" s="8"/>
      <c r="Z170" s="10" t="n">
        <f aca="false">IF(Q170="","",IF(Q170&lt;=$B$4,N(W170)+N(X170),0))</f>
        <v>0</v>
      </c>
      <c r="AA170" s="10" t="n">
        <f aca="false">IF(OR(LEFT(N170,6)="Larger",LEFT(N170,4)="Memo"),H170,0)</f>
        <v>0</v>
      </c>
    </row>
    <row r="171" customFormat="false" ht="15" hidden="false" customHeight="false" outlineLevel="0" collapsed="false">
      <c r="A171" s="11" t="s">
        <v>46</v>
      </c>
      <c r="B171" s="12" t="str">
        <f aca="false">IFERROR(INDEX(Summary!$B$11:$B$18,MATCH($A171,Summary!$A$11:$A$18,0)),"")</f>
        <v>PA</v>
      </c>
      <c r="C171" s="11" t="s">
        <v>46</v>
      </c>
      <c r="D171" s="11" t="n">
        <v>46</v>
      </c>
      <c r="E171" s="21" t="n">
        <v>45888</v>
      </c>
      <c r="F171" s="11" t="s">
        <v>425</v>
      </c>
      <c r="G171" s="11"/>
      <c r="H171" s="10" t="n">
        <v>644</v>
      </c>
      <c r="I171" s="11" t="s">
        <v>426</v>
      </c>
      <c r="J171" s="11" t="s">
        <v>97</v>
      </c>
      <c r="K171" s="22" t="n">
        <f aca="false">IF(E171="","",($B$4-E171)/365.25)</f>
        <v>1.13073237508556</v>
      </c>
      <c r="L171" s="11" t="str">
        <f aca="false">IF(K171="","no date",IF(K171&lt;1,"0-1 yrs",IF(K171&lt;2,"1-2 yrs",IF(K171&lt;3,"2-3 yrs",IF(K171&lt;5,"3-5 yrs","5+ yrs")))))</f>
        <v>1-2 yrs</v>
      </c>
      <c r="M171" s="11" t="s">
        <v>97</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2</v>
      </c>
      <c r="P171" s="21" t="n">
        <f aca="false">IF(OR(O171="",E171=""),"",EDATE(E171,12*O171))</f>
        <v>46618</v>
      </c>
      <c r="Q171" s="21" t="n">
        <f aca="false">IF(E171="","",IFERROR(EDATE(E171,12*INDEX('State Rules'!$E$5:$E$11,MATCH($B171,'State Rules'!$A$5:$A$11,0))),""))</f>
        <v>46984</v>
      </c>
      <c r="R171" s="11" t="str">
        <f aca="false">IF(P171="","",IFERROR(IF(P171&lt;=INDEX('State Rules'!$I$5:$I$11,MATCH($B171,'State Rules'!$A$5:$A$11,0)),"Yes","No"),""))</f>
        <v>No</v>
      </c>
      <c r="S171" s="11" t="str">
        <f aca="false">IF(Q171="","",IFERROR(IF(Q171&lt;=INDEX('State Rules'!$I$5:$I$11,MATCH($B171,'State Rules'!$A$5:$A$11,0)),"Yes","No"),""))</f>
        <v>No</v>
      </c>
      <c r="T171" s="8"/>
      <c r="U171" s="8"/>
      <c r="V171" s="23"/>
      <c r="W171" s="23"/>
      <c r="X171" s="23"/>
      <c r="Y171" s="8"/>
      <c r="Z171" s="10" t="n">
        <f aca="false">IF(Q171="","",IF(Q171&lt;=$B$4,N(W171)+N(X171),0))</f>
        <v>0</v>
      </c>
      <c r="AA171" s="10" t="n">
        <f aca="false">IF(OR(LEFT(N171,6)="Larger",LEFT(N171,4)="Memo"),H171,0)</f>
        <v>0</v>
      </c>
    </row>
    <row r="172" customFormat="false" ht="15" hidden="false" customHeight="false" outlineLevel="0" collapsed="false">
      <c r="A172" s="11" t="s">
        <v>46</v>
      </c>
      <c r="B172" s="12" t="str">
        <f aca="false">IFERROR(INDEX(Summary!$B$11:$B$18,MATCH($A172,Summary!$A$11:$A$18,0)),"")</f>
        <v>PA</v>
      </c>
      <c r="C172" s="11" t="s">
        <v>46</v>
      </c>
      <c r="D172" s="11" t="n">
        <v>47</v>
      </c>
      <c r="E172" s="21" t="n">
        <v>45974</v>
      </c>
      <c r="F172" s="11" t="s">
        <v>427</v>
      </c>
      <c r="G172" s="11"/>
      <c r="H172" s="10" t="n">
        <v>2000</v>
      </c>
      <c r="I172" s="11" t="s">
        <v>428</v>
      </c>
      <c r="J172" s="11" t="s">
        <v>97</v>
      </c>
      <c r="K172" s="22" t="n">
        <f aca="false">IF(E172="","",($B$4-E172)/365.25)</f>
        <v>0.895277207392197</v>
      </c>
      <c r="L172" s="11" t="str">
        <f aca="false">IF(K172="","no date",IF(K172&lt;1,"0-1 yrs",IF(K172&lt;2,"1-2 yrs",IF(K172&lt;3,"2-3 yrs",IF(K172&lt;5,"3-5 yrs","5+ yrs")))))</f>
        <v>0-1 yrs</v>
      </c>
      <c r="M172" s="11" t="s">
        <v>97</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2</v>
      </c>
      <c r="P172" s="21" t="n">
        <f aca="false">IF(OR(O172="",E172=""),"",EDATE(E172,12*O172))</f>
        <v>46704</v>
      </c>
      <c r="Q172" s="21" t="n">
        <f aca="false">IF(E172="","",IFERROR(EDATE(E172,12*INDEX('State Rules'!$E$5:$E$11,MATCH($B172,'State Rules'!$A$5:$A$11,0))),""))</f>
        <v>47070</v>
      </c>
      <c r="R172" s="11" t="str">
        <f aca="false">IF(P172="","",IFERROR(IF(P172&lt;=INDEX('State Rules'!$I$5:$I$11,MATCH($B172,'State Rules'!$A$5:$A$11,0)),"Yes","No"),""))</f>
        <v>No</v>
      </c>
      <c r="S172" s="11" t="str">
        <f aca="false">IF(Q172="","",IFERROR(IF(Q172&lt;=INDEX('State Rules'!$I$5:$I$11,MATCH($B172,'State Rules'!$A$5:$A$11,0)),"Yes","No"),""))</f>
        <v>No</v>
      </c>
      <c r="T172" s="8"/>
      <c r="U172" s="8"/>
      <c r="V172" s="23"/>
      <c r="W172" s="23"/>
      <c r="X172" s="23"/>
      <c r="Y172" s="8"/>
      <c r="Z172" s="10" t="n">
        <f aca="false">IF(Q172="","",IF(Q172&lt;=$B$4,N(W172)+N(X172),0))</f>
        <v>0</v>
      </c>
      <c r="AA172" s="10" t="n">
        <f aca="false">IF(OR(LEFT(N172,6)="Larger",LEFT(N172,4)="Memo"),H172,0)</f>
        <v>2000</v>
      </c>
    </row>
    <row r="173" customFormat="false" ht="15" hidden="false" customHeight="false" outlineLevel="0" collapsed="false">
      <c r="A173" s="11" t="s">
        <v>46</v>
      </c>
      <c r="B173" s="12" t="str">
        <f aca="false">IFERROR(INDEX(Summary!$B$11:$B$18,MATCH($A173,Summary!$A$11:$A$18,0)),"")</f>
        <v>PA</v>
      </c>
      <c r="C173" s="11" t="s">
        <v>46</v>
      </c>
      <c r="D173" s="11" t="n">
        <v>48</v>
      </c>
      <c r="E173" s="21" t="n">
        <v>45985</v>
      </c>
      <c r="F173" s="11" t="s">
        <v>412</v>
      </c>
      <c r="G173" s="11"/>
      <c r="H173" s="10" t="n">
        <v>1462.12</v>
      </c>
      <c r="I173" s="11" t="s">
        <v>429</v>
      </c>
      <c r="J173" s="11" t="s">
        <v>97</v>
      </c>
      <c r="K173" s="22" t="n">
        <f aca="false">IF(E173="","",($B$4-E173)/365.25)</f>
        <v>0.865160848733744</v>
      </c>
      <c r="L173" s="11" t="str">
        <f aca="false">IF(K173="","no date",IF(K173&lt;1,"0-1 yrs",IF(K173&lt;2,"1-2 yrs",IF(K173&lt;3,"2-3 yrs",IF(K173&lt;5,"3-5 yrs","5+ yrs")))))</f>
        <v>0-1 yrs</v>
      </c>
      <c r="M173" s="11" t="s">
        <v>97</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2</v>
      </c>
      <c r="P173" s="21" t="n">
        <f aca="false">IF(OR(O173="",E173=""),"",EDATE(E173,12*O173))</f>
        <v>46715</v>
      </c>
      <c r="Q173" s="21" t="n">
        <f aca="false">IF(E173="","",IFERROR(EDATE(E173,12*INDEX('State Rules'!$E$5:$E$11,MATCH($B173,'State Rules'!$A$5:$A$11,0))),""))</f>
        <v>47081</v>
      </c>
      <c r="R173" s="11" t="str">
        <f aca="false">IF(P173="","",IFERROR(IF(P173&lt;=INDEX('State Rules'!$I$5:$I$11,MATCH($B173,'State Rules'!$A$5:$A$11,0)),"Yes","No"),""))</f>
        <v>No</v>
      </c>
      <c r="S173" s="11" t="str">
        <f aca="false">IF(Q173="","",IFERROR(IF(Q173&lt;=INDEX('State Rules'!$I$5:$I$11,MATCH($B173,'State Rules'!$A$5:$A$11,0)),"Yes","No"),""))</f>
        <v>No</v>
      </c>
      <c r="T173" s="8"/>
      <c r="U173" s="8"/>
      <c r="V173" s="23"/>
      <c r="W173" s="23"/>
      <c r="X173" s="23"/>
      <c r="Y173" s="8"/>
      <c r="Z173" s="10" t="n">
        <f aca="false">IF(Q173="","",IF(Q173&lt;=$B$4,N(W173)+N(X173),0))</f>
        <v>0</v>
      </c>
      <c r="AA173" s="10" t="n">
        <f aca="false">IF(OR(LEFT(N173,6)="Larger",LEFT(N173,4)="Memo"),H173,0)</f>
        <v>1462.12</v>
      </c>
    </row>
    <row r="174" customFormat="false" ht="15" hidden="false" customHeight="false" outlineLevel="0" collapsed="false">
      <c r="A174" s="11" t="s">
        <v>46</v>
      </c>
      <c r="B174" s="12" t="str">
        <f aca="false">IFERROR(INDEX(Summary!$B$11:$B$18,MATCH($A174,Summary!$A$11:$A$18,0)),"")</f>
        <v>PA</v>
      </c>
      <c r="C174" s="11" t="s">
        <v>46</v>
      </c>
      <c r="D174" s="11" t="n">
        <v>49</v>
      </c>
      <c r="E174" s="21" t="n">
        <v>46008</v>
      </c>
      <c r="F174" s="11" t="s">
        <v>430</v>
      </c>
      <c r="G174" s="11"/>
      <c r="H174" s="10" t="n">
        <v>1060</v>
      </c>
      <c r="I174" s="11" t="s">
        <v>431</v>
      </c>
      <c r="J174" s="11" t="s">
        <v>97</v>
      </c>
      <c r="K174" s="22" t="n">
        <f aca="false">IF(E174="","",($B$4-E174)/365.25)</f>
        <v>0.802190280629706</v>
      </c>
      <c r="L174" s="11" t="str">
        <f aca="false">IF(K174="","no date",IF(K174&lt;1,"0-1 yrs",IF(K174&lt;2,"1-2 yrs",IF(K174&lt;3,"2-3 yrs",IF(K174&lt;5,"3-5 yrs","5+ yrs")))))</f>
        <v>0-1 yrs</v>
      </c>
      <c r="M174" s="11" t="s">
        <v>97</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2</v>
      </c>
      <c r="P174" s="21" t="n">
        <f aca="false">IF(OR(O174="",E174=""),"",EDATE(E174,12*O174))</f>
        <v>46738</v>
      </c>
      <c r="Q174" s="21" t="n">
        <f aca="false">IF(E174="","",IFERROR(EDATE(E174,12*INDEX('State Rules'!$E$5:$E$11,MATCH($B174,'State Rules'!$A$5:$A$11,0))),""))</f>
        <v>47104</v>
      </c>
      <c r="R174" s="11" t="str">
        <f aca="false">IF(P174="","",IFERROR(IF(P174&lt;=INDEX('State Rules'!$I$5:$I$11,MATCH($B174,'State Rules'!$A$5:$A$11,0)),"Yes","No"),""))</f>
        <v>No</v>
      </c>
      <c r="S174" s="11" t="str">
        <f aca="false">IF(Q174="","",IFERROR(IF(Q174&lt;=INDEX('State Rules'!$I$5:$I$11,MATCH($B174,'State Rules'!$A$5:$A$11,0)),"Yes","No"),""))</f>
        <v>No</v>
      </c>
      <c r="T174" s="8"/>
      <c r="U174" s="8"/>
      <c r="V174" s="23"/>
      <c r="W174" s="23"/>
      <c r="X174" s="23"/>
      <c r="Y174" s="8"/>
      <c r="Z174" s="10" t="n">
        <f aca="false">IF(Q174="","",IF(Q174&lt;=$B$4,N(W174)+N(X174),0))</f>
        <v>0</v>
      </c>
      <c r="AA174" s="10" t="n">
        <f aca="false">IF(OR(LEFT(N174,6)="Larger",LEFT(N174,4)="Memo"),H174,0)</f>
        <v>1060</v>
      </c>
    </row>
    <row r="175" customFormat="false" ht="15" hidden="false" customHeight="false" outlineLevel="0" collapsed="false">
      <c r="A175" s="11" t="s">
        <v>46</v>
      </c>
      <c r="B175" s="12" t="str">
        <f aca="false">IFERROR(INDEX(Summary!$B$11:$B$18,MATCH($A175,Summary!$A$11:$A$18,0)),"")</f>
        <v>PA</v>
      </c>
      <c r="C175" s="11" t="s">
        <v>46</v>
      </c>
      <c r="D175" s="11" t="n">
        <v>50</v>
      </c>
      <c r="E175" s="21" t="n">
        <v>46055</v>
      </c>
      <c r="F175" s="11" t="s">
        <v>412</v>
      </c>
      <c r="G175" s="11"/>
      <c r="H175" s="10" t="n">
        <v>625</v>
      </c>
      <c r="I175" s="11"/>
      <c r="J175" s="11" t="s">
        <v>97</v>
      </c>
      <c r="K175" s="22" t="n">
        <f aca="false">IF(E175="","",($B$4-E175)/365.25)</f>
        <v>0.673511293634497</v>
      </c>
      <c r="L175" s="11" t="str">
        <f aca="false">IF(K175="","no date",IF(K175&lt;1,"0-1 yrs",IF(K175&lt;2,"1-2 yrs",IF(K175&lt;3,"2-3 yrs",IF(K175&lt;5,"3-5 yrs","5+ yrs")))))</f>
        <v>0-1 yrs</v>
      </c>
      <c r="M175" s="11" t="s">
        <v>97</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2</v>
      </c>
      <c r="P175" s="21" t="n">
        <f aca="false">IF(OR(O175="",E175=""),"",EDATE(E175,12*O175))</f>
        <v>46785</v>
      </c>
      <c r="Q175" s="21" t="n">
        <f aca="false">IF(E175="","",IFERROR(EDATE(E175,12*INDEX('State Rules'!$E$5:$E$11,MATCH($B175,'State Rules'!$A$5:$A$11,0))),""))</f>
        <v>47151</v>
      </c>
      <c r="R175" s="11" t="str">
        <f aca="false">IF(P175="","",IFERROR(IF(P175&lt;=INDEX('State Rules'!$I$5:$I$11,MATCH($B175,'State Rules'!$A$5:$A$11,0)),"Yes","No"),""))</f>
        <v>No</v>
      </c>
      <c r="S175" s="11" t="str">
        <f aca="false">IF(Q175="","",IFERROR(IF(Q175&lt;=INDEX('State Rules'!$I$5:$I$11,MATCH($B175,'State Rules'!$A$5:$A$11,0)),"Yes","No"),""))</f>
        <v>No</v>
      </c>
      <c r="T175" s="8"/>
      <c r="U175" s="8"/>
      <c r="V175" s="23"/>
      <c r="W175" s="23"/>
      <c r="X175" s="23"/>
      <c r="Y175" s="8"/>
      <c r="Z175" s="10" t="n">
        <f aca="false">IF(Q175="","",IF(Q175&lt;=$B$4,N(W175)+N(X175),0))</f>
        <v>0</v>
      </c>
      <c r="AA175" s="10" t="n">
        <f aca="false">IF(OR(LEFT(N175,6)="Larger",LEFT(N175,4)="Memo"),H175,0)</f>
        <v>625</v>
      </c>
    </row>
    <row r="176" customFormat="false" ht="15" hidden="false" customHeight="false" outlineLevel="0" collapsed="false">
      <c r="A176" s="11" t="s">
        <v>46</v>
      </c>
      <c r="B176" s="12" t="str">
        <f aca="false">IFERROR(INDEX(Summary!$B$11:$B$18,MATCH($A176,Summary!$A$11:$A$18,0)),"")</f>
        <v>PA</v>
      </c>
      <c r="C176" s="11" t="s">
        <v>46</v>
      </c>
      <c r="D176" s="11" t="n">
        <v>51</v>
      </c>
      <c r="E176" s="21" t="n">
        <v>46132</v>
      </c>
      <c r="F176" s="11" t="s">
        <v>432</v>
      </c>
      <c r="G176" s="11"/>
      <c r="H176" s="10" t="n">
        <v>1000</v>
      </c>
      <c r="I176" s="11"/>
      <c r="J176" s="11" t="s">
        <v>97</v>
      </c>
      <c r="K176" s="22" t="n">
        <f aca="false">IF(E176="","",($B$4-E176)/365.25)</f>
        <v>0.462696783025325</v>
      </c>
      <c r="L176" s="11" t="str">
        <f aca="false">IF(K176="","no date",IF(K176&lt;1,"0-1 yrs",IF(K176&lt;2,"1-2 yrs",IF(K176&lt;3,"2-3 yrs",IF(K176&lt;5,"3-5 yrs","5+ yrs")))))</f>
        <v>0-1 yrs</v>
      </c>
      <c r="M176" s="11" t="s">
        <v>97</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2</v>
      </c>
      <c r="P176" s="21" t="n">
        <f aca="false">IF(OR(O176="",E176=""),"",EDATE(E176,12*O176))</f>
        <v>46863</v>
      </c>
      <c r="Q176" s="21"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3"/>
      <c r="W176" s="23"/>
      <c r="X176" s="23"/>
      <c r="Y176" s="8"/>
      <c r="Z176" s="10" t="n">
        <f aca="false">IF(Q176="","",IF(Q176&lt;=$B$4,N(W176)+N(X176),0))</f>
        <v>0</v>
      </c>
      <c r="AA176" s="10" t="n">
        <f aca="false">IF(OR(LEFT(N176,6)="Larger",LEFT(N176,4)="Memo"),H176,0)</f>
        <v>1000</v>
      </c>
    </row>
    <row r="177" customFormat="false" ht="15" hidden="false" customHeight="false" outlineLevel="0" collapsed="false">
      <c r="A177" s="11" t="s">
        <v>46</v>
      </c>
      <c r="B177" s="12" t="str">
        <f aca="false">IFERROR(INDEX(Summary!$B$11:$B$18,MATCH($A177,Summary!$A$11:$A$18,0)),"")</f>
        <v>PA</v>
      </c>
      <c r="C177" s="11" t="s">
        <v>46</v>
      </c>
      <c r="D177" s="11" t="n">
        <v>52</v>
      </c>
      <c r="E177" s="21" t="n">
        <v>46189</v>
      </c>
      <c r="F177" s="11" t="s">
        <v>412</v>
      </c>
      <c r="G177" s="11"/>
      <c r="H177" s="10" t="n">
        <v>595</v>
      </c>
      <c r="I177" s="11"/>
      <c r="J177" s="11" t="s">
        <v>97</v>
      </c>
      <c r="K177" s="22" t="n">
        <f aca="false">IF(E177="","",($B$4-E177)/365.25)</f>
        <v>0.306639288158795</v>
      </c>
      <c r="L177" s="11" t="str">
        <f aca="false">IF(K177="","no date",IF(K177&lt;1,"0-1 yrs",IF(K177&lt;2,"1-2 yrs",IF(K177&lt;3,"2-3 yrs",IF(K177&lt;5,"3-5 yrs","5+ yrs")))))</f>
        <v>0-1 yrs</v>
      </c>
      <c r="M177" s="11" t="s">
        <v>97</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2</v>
      </c>
      <c r="P177" s="21" t="n">
        <f aca="false">IF(OR(O177="",E177=""),"",EDATE(E177,12*O177))</f>
        <v>46920</v>
      </c>
      <c r="Q177" s="21"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3"/>
      <c r="W177" s="23"/>
      <c r="X177" s="23"/>
      <c r="Y177" s="8"/>
      <c r="Z177" s="10" t="n">
        <f aca="false">IF(Q177="","",IF(Q177&lt;=$B$4,N(W177)+N(X177),0))</f>
        <v>0</v>
      </c>
      <c r="AA177" s="10" t="n">
        <f aca="false">IF(OR(LEFT(N177,6)="Larger",LEFT(N177,4)="Memo"),H177,0)</f>
        <v>0</v>
      </c>
    </row>
    <row r="178" customFormat="false" ht="15" hidden="false" customHeight="false" outlineLevel="0" collapsed="false">
      <c r="A178" s="11" t="s">
        <v>46</v>
      </c>
      <c r="B178" s="12" t="str">
        <f aca="false">IFERROR(INDEX(Summary!$B$11:$B$18,MATCH($A178,Summary!$A$11:$A$18,0)),"")</f>
        <v>PA</v>
      </c>
      <c r="C178" s="11" t="s">
        <v>46</v>
      </c>
      <c r="D178" s="11" t="n">
        <v>53</v>
      </c>
      <c r="E178" s="21" t="n">
        <v>46218</v>
      </c>
      <c r="F178" s="11" t="s">
        <v>433</v>
      </c>
      <c r="G178" s="11"/>
      <c r="H178" s="10" t="n">
        <v>595</v>
      </c>
      <c r="I178" s="11" t="s">
        <v>434</v>
      </c>
      <c r="J178" s="11" t="s">
        <v>97</v>
      </c>
      <c r="K178" s="22" t="n">
        <f aca="false">IF(E178="","",($B$4-E178)/365.25)</f>
        <v>0.227241615331964</v>
      </c>
      <c r="L178" s="11" t="str">
        <f aca="false">IF(K178="","no date",IF(K178&lt;1,"0-1 yrs",IF(K178&lt;2,"1-2 yrs",IF(K178&lt;3,"2-3 yrs",IF(K178&lt;5,"3-5 yrs","5+ yrs")))))</f>
        <v>0-1 yrs</v>
      </c>
      <c r="M178" s="11" t="s">
        <v>97</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2</v>
      </c>
      <c r="P178" s="21" t="n">
        <f aca="false">IF(OR(O178="",E178=""),"",EDATE(E178,12*O178))</f>
        <v>46949</v>
      </c>
      <c r="Q178" s="21"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3"/>
      <c r="W178" s="23"/>
      <c r="X178" s="23"/>
      <c r="Y178" s="8"/>
      <c r="Z178" s="10" t="n">
        <f aca="false">IF(Q178="","",IF(Q178&lt;=$B$4,N(W178)+N(X178),0))</f>
        <v>0</v>
      </c>
      <c r="AA178" s="10" t="n">
        <f aca="false">IF(OR(LEFT(N178,6)="Larger",LEFT(N178,4)="Memo"),H178,0)</f>
        <v>0</v>
      </c>
    </row>
    <row r="179" customFormat="false" ht="15" hidden="false" customHeight="false" outlineLevel="0" collapsed="false">
      <c r="A179" s="11" t="s">
        <v>46</v>
      </c>
      <c r="B179" s="12" t="str">
        <f aca="false">IFERROR(INDEX(Summary!$B$11:$B$18,MATCH($A179,Summary!$A$11:$A$18,0)),"")</f>
        <v>PA</v>
      </c>
      <c r="C179" s="11" t="s">
        <v>46</v>
      </c>
      <c r="D179" s="11" t="n">
        <v>54</v>
      </c>
      <c r="E179" s="21" t="n">
        <v>46227</v>
      </c>
      <c r="F179" s="11" t="s">
        <v>435</v>
      </c>
      <c r="G179" s="11"/>
      <c r="H179" s="10" t="n">
        <v>1250</v>
      </c>
      <c r="I179" s="11"/>
      <c r="J179" s="11" t="s">
        <v>97</v>
      </c>
      <c r="K179" s="22" t="n">
        <f aca="false">IF(E179="","",($B$4-E179)/365.25)</f>
        <v>0.202600958247776</v>
      </c>
      <c r="L179" s="11" t="str">
        <f aca="false">IF(K179="","no date",IF(K179&lt;1,"0-1 yrs",IF(K179&lt;2,"1-2 yrs",IF(K179&lt;3,"2-3 yrs",IF(K179&lt;5,"3-5 yrs","5+ yrs")))))</f>
        <v>0-1 yrs</v>
      </c>
      <c r="M179" s="11" t="s">
        <v>97</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2</v>
      </c>
      <c r="P179" s="21" t="n">
        <f aca="false">IF(OR(O179="",E179=""),"",EDATE(E179,12*O179))</f>
        <v>46958</v>
      </c>
      <c r="Q179" s="21"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3"/>
      <c r="W179" s="23"/>
      <c r="X179" s="23"/>
      <c r="Y179" s="8"/>
      <c r="Z179" s="10" t="n">
        <f aca="false">IF(Q179="","",IF(Q179&lt;=$B$4,N(W179)+N(X179),0))</f>
        <v>0</v>
      </c>
      <c r="AA179" s="10" t="n">
        <f aca="false">IF(OR(LEFT(N179,6)="Larger",LEFT(N179,4)="Memo"),H179,0)</f>
        <v>1250</v>
      </c>
    </row>
    <row r="180" customFormat="false" ht="15" hidden="false" customHeight="false" outlineLevel="0" collapsed="false">
      <c r="A180" s="11" t="s">
        <v>46</v>
      </c>
      <c r="B180" s="12" t="str">
        <f aca="false">IFERROR(INDEX(Summary!$B$11:$B$18,MATCH($A180,Summary!$A$11:$A$18,0)),"")</f>
        <v>PA</v>
      </c>
      <c r="C180" s="11" t="s">
        <v>46</v>
      </c>
      <c r="D180" s="11" t="n">
        <v>58</v>
      </c>
      <c r="E180" s="21" t="n">
        <v>46248</v>
      </c>
      <c r="F180" s="11" t="s">
        <v>435</v>
      </c>
      <c r="G180" s="11"/>
      <c r="H180" s="10" t="n">
        <v>344</v>
      </c>
      <c r="I180" s="11" t="s">
        <v>436</v>
      </c>
      <c r="J180" s="11" t="s">
        <v>97</v>
      </c>
      <c r="K180" s="22" t="n">
        <f aca="false">IF(E180="","",($B$4-E180)/365.25)</f>
        <v>0.145106091718001</v>
      </c>
      <c r="L180" s="11" t="str">
        <f aca="false">IF(K180="","no date",IF(K180&lt;1,"0-1 yrs",IF(K180&lt;2,"1-2 yrs",IF(K180&lt;3,"2-3 yrs",IF(K180&lt;5,"3-5 yrs","5+ yrs")))))</f>
        <v>0-1 yrs</v>
      </c>
      <c r="M180" s="11" t="s">
        <v>97</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2</v>
      </c>
      <c r="P180" s="21" t="n">
        <f aca="false">IF(OR(O180="",E180=""),"",EDATE(E180,12*O180))</f>
        <v>46979</v>
      </c>
      <c r="Q180" s="21"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3"/>
      <c r="W180" s="23"/>
      <c r="X180" s="23"/>
      <c r="Y180" s="8"/>
      <c r="Z180" s="10" t="n">
        <f aca="false">IF(Q180="","",IF(Q180&lt;=$B$4,N(W180)+N(X180),0))</f>
        <v>0</v>
      </c>
      <c r="AA180" s="10" t="n">
        <f aca="false">IF(OR(LEFT(N180,6)="Larger",LEFT(N180,4)="Memo"),H180,0)</f>
        <v>344</v>
      </c>
    </row>
    <row r="181" customFormat="false" ht="15" hidden="false" customHeight="false" outlineLevel="0" collapsed="false">
      <c r="A181" s="11" t="s">
        <v>49</v>
      </c>
      <c r="B181" s="12" t="str">
        <f aca="false">IFERROR(INDEX(Summary!$B$11:$B$18,MATCH($A181,Summary!$A$11:$A$18,0)),"")</f>
        <v>FL</v>
      </c>
      <c r="C181" s="11" t="s">
        <v>49</v>
      </c>
      <c r="D181" s="11" t="n">
        <v>22</v>
      </c>
      <c r="E181" s="21" t="n">
        <v>46156</v>
      </c>
      <c r="F181" s="11" t="s">
        <v>437</v>
      </c>
      <c r="G181" s="11"/>
      <c r="H181" s="10" t="n">
        <v>850</v>
      </c>
      <c r="I181" s="11"/>
      <c r="J181" s="11" t="s">
        <v>97</v>
      </c>
      <c r="K181" s="22" t="n">
        <f aca="false">IF(E181="","",($B$4-E181)/365.25)</f>
        <v>0.396988364134155</v>
      </c>
      <c r="L181" s="11" t="str">
        <f aca="false">IF(K181="","no date",IF(K181&lt;1,"0-1 yrs",IF(K181&lt;2,"1-2 yrs",IF(K181&lt;3,"2-3 yrs",IF(K181&lt;5,"3-5 yrs","5+ yrs")))))</f>
        <v>0-1 yrs</v>
      </c>
      <c r="M181" s="11" t="s">
        <v>97</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1" t="n">
        <f aca="false">IF(OR(O181="",E181=""),"",EDATE(E181,12*O181))</f>
        <v>46521</v>
      </c>
      <c r="Q181" s="21" t="n">
        <f aca="false">IF(E181="","",IFERROR(EDATE(E181,12*INDEX('State Rules'!$E$5:$E$11,MATCH($B181,'State Rules'!$A$5:$A$11,0))),""))</f>
        <v>47982</v>
      </c>
      <c r="R181" s="11" t="str">
        <f aca="false">IF(P181="","",IFERROR(IF(P181&lt;=INDEX('State Rules'!$I$5:$I$11,MATCH($B181,'State Rules'!$A$5:$A$11,0)),"Yes","No"),""))</f>
        <v>No</v>
      </c>
      <c r="S181" s="11" t="str">
        <f aca="false">IF(Q181="","",IFERROR(IF(Q181&lt;=INDEX('State Rules'!$I$5:$I$11,MATCH($B181,'State Rules'!$A$5:$A$11,0)),"Yes","No"),""))</f>
        <v>No</v>
      </c>
      <c r="T181" s="8"/>
      <c r="U181" s="8"/>
      <c r="V181" s="23"/>
      <c r="W181" s="23"/>
      <c r="X181" s="23"/>
      <c r="Y181" s="8"/>
      <c r="Z181" s="10" t="n">
        <f aca="false">IF(Q181="","",IF(Q181&lt;=$B$4,N(W181)+N(X181),0))</f>
        <v>0</v>
      </c>
      <c r="AA181" s="10" t="n">
        <f aca="false">IF(OR(LEFT(N181,6)="Larger",LEFT(N181,4)="Memo"),H181,0)</f>
        <v>850</v>
      </c>
    </row>
    <row r="182" customFormat="false" ht="15" hidden="false" customHeight="false" outlineLevel="0" collapsed="false">
      <c r="A182" s="11" t="s">
        <v>49</v>
      </c>
      <c r="B182" s="12" t="str">
        <f aca="false">IFERROR(INDEX(Summary!$B$11:$B$18,MATCH($A182,Summary!$A$11:$A$18,0)),"")</f>
        <v>FL</v>
      </c>
      <c r="C182" s="11" t="s">
        <v>49</v>
      </c>
      <c r="D182" s="11" t="n">
        <v>23</v>
      </c>
      <c r="E182" s="21" t="n">
        <v>46202</v>
      </c>
      <c r="F182" s="11"/>
      <c r="G182" s="11"/>
      <c r="H182" s="10" t="n">
        <v>350</v>
      </c>
      <c r="I182" s="11"/>
      <c r="J182" s="11" t="s">
        <v>97</v>
      </c>
      <c r="K182" s="22" t="n">
        <f aca="false">IF(E182="","",($B$4-E182)/365.25)</f>
        <v>0.271047227926078</v>
      </c>
      <c r="L182" s="11" t="str">
        <f aca="false">IF(K182="","no date",IF(K182&lt;1,"0-1 yrs",IF(K182&lt;2,"1-2 yrs",IF(K182&lt;3,"2-3 yrs",IF(K182&lt;5,"3-5 yrs","5+ yrs")))))</f>
        <v>0-1 yrs</v>
      </c>
      <c r="M182" s="11" t="s">
        <v>97</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1" t="n">
        <f aca="false">IF(OR(O182="",E182=""),"",EDATE(E182,12*O182))</f>
        <v>46567</v>
      </c>
      <c r="Q182" s="21" t="n">
        <f aca="false">IF(E182="","",IFERROR(EDATE(E182,12*INDEX('State Rules'!$E$5:$E$11,MATCH($B182,'State Rules'!$A$5:$A$11,0))),""))</f>
        <v>48028</v>
      </c>
      <c r="R182" s="11" t="str">
        <f aca="false">IF(P182="","",IFERROR(IF(P182&lt;=INDEX('State Rules'!$I$5:$I$11,MATCH($B182,'State Rules'!$A$5:$A$11,0)),"Yes","No"),""))</f>
        <v>No</v>
      </c>
      <c r="S182" s="11" t="str">
        <f aca="false">IF(Q182="","",IFERROR(IF(Q182&lt;=INDEX('State Rules'!$I$5:$I$11,MATCH($B182,'State Rules'!$A$5:$A$11,0)),"Yes","No"),""))</f>
        <v>No</v>
      </c>
      <c r="T182" s="8"/>
      <c r="U182" s="8"/>
      <c r="V182" s="23"/>
      <c r="W182" s="23"/>
      <c r="X182" s="23"/>
      <c r="Y182" s="8"/>
      <c r="Z182" s="10" t="n">
        <f aca="false">IF(Q182="","",IF(Q182&lt;=$B$4,N(W182)+N(X182),0))</f>
        <v>0</v>
      </c>
      <c r="AA182" s="10" t="n">
        <f aca="false">IF(OR(LEFT(N182,6)="Larger",LEFT(N182,4)="Memo"),H182,0)</f>
        <v>350</v>
      </c>
    </row>
    <row r="183" customFormat="false" ht="15" hidden="false" customHeight="false" outlineLevel="0" collapsed="false">
      <c r="A183" s="11" t="s">
        <v>49</v>
      </c>
      <c r="B183" s="12" t="str">
        <f aca="false">IFERROR(INDEX(Summary!$B$11:$B$18,MATCH($A183,Summary!$A$11:$A$18,0)),"")</f>
        <v>FL</v>
      </c>
      <c r="C183" s="11" t="s">
        <v>49</v>
      </c>
      <c r="D183" s="11" t="n">
        <v>24</v>
      </c>
      <c r="E183" s="21" t="n">
        <v>46248</v>
      </c>
      <c r="F183" s="11" t="s">
        <v>438</v>
      </c>
      <c r="G183" s="11"/>
      <c r="H183" s="10" t="n">
        <v>1951.11</v>
      </c>
      <c r="I183" s="11"/>
      <c r="J183" s="11" t="s">
        <v>97</v>
      </c>
      <c r="K183" s="22" t="n">
        <f aca="false">IF(E183="","",($B$4-E183)/365.25)</f>
        <v>0.145106091718001</v>
      </c>
      <c r="L183" s="11" t="str">
        <f aca="false">IF(K183="","no date",IF(K183&lt;1,"0-1 yrs",IF(K183&lt;2,"1-2 yrs",IF(K183&lt;3,"2-3 yrs",IF(K183&lt;5,"3-5 yrs","5+ yrs")))))</f>
        <v>0-1 yrs</v>
      </c>
      <c r="M183" s="11" t="s">
        <v>97</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1" t="n">
        <f aca="false">IF(OR(O183="",E183=""),"",EDATE(E183,12*O183))</f>
        <v>46613</v>
      </c>
      <c r="Q183" s="21" t="n">
        <f aca="false">IF(E183="","",IFERROR(EDATE(E183,12*INDEX('State Rules'!$E$5:$E$11,MATCH($B183,'State Rules'!$A$5:$A$11,0))),""))</f>
        <v>48074</v>
      </c>
      <c r="R183" s="11" t="str">
        <f aca="false">IF(P183="","",IFERROR(IF(P183&lt;=INDEX('State Rules'!$I$5:$I$11,MATCH($B183,'State Rules'!$A$5:$A$11,0)),"Yes","No"),""))</f>
        <v>No</v>
      </c>
      <c r="S183" s="11" t="str">
        <f aca="false">IF(Q183="","",IFERROR(IF(Q183&lt;=INDEX('State Rules'!$I$5:$I$11,MATCH($B183,'State Rules'!$A$5:$A$11,0)),"Yes","No"),""))</f>
        <v>No</v>
      </c>
      <c r="T183" s="8"/>
      <c r="U183" s="8"/>
      <c r="V183" s="23"/>
      <c r="W183" s="23"/>
      <c r="X183" s="23"/>
      <c r="Y183" s="8"/>
      <c r="Z183" s="10" t="n">
        <f aca="false">IF(Q183="","",IF(Q183&lt;=$B$4,N(W183)+N(X183),0))</f>
        <v>0</v>
      </c>
      <c r="AA183" s="10" t="n">
        <f aca="false">IF(OR(LEFT(N183,6)="Larger",LEFT(N183,4)="Memo"),H183,0)</f>
        <v>1951.11</v>
      </c>
    </row>
    <row r="184" customFormat="false" ht="15" hidden="false" customHeight="false" outlineLevel="0" collapsed="false">
      <c r="A184" s="11" t="s">
        <v>49</v>
      </c>
      <c r="B184" s="12" t="str">
        <f aca="false">IFERROR(INDEX(Summary!$B$11:$B$18,MATCH($A184,Summary!$A$11:$A$18,0)),"")</f>
        <v>FL</v>
      </c>
      <c r="C184" s="11" t="s">
        <v>49</v>
      </c>
      <c r="D184" s="11" t="n">
        <v>25</v>
      </c>
      <c r="E184" s="21" t="n">
        <v>46248</v>
      </c>
      <c r="F184" s="11" t="s">
        <v>439</v>
      </c>
      <c r="G184" s="11"/>
      <c r="H184" s="10" t="n">
        <v>850</v>
      </c>
      <c r="I184" s="11"/>
      <c r="J184" s="11" t="s">
        <v>97</v>
      </c>
      <c r="K184" s="22" t="n">
        <f aca="false">IF(E184="","",($B$4-E184)/365.25)</f>
        <v>0.145106091718001</v>
      </c>
      <c r="L184" s="11" t="str">
        <f aca="false">IF(K184="","no date",IF(K184&lt;1,"0-1 yrs",IF(K184&lt;2,"1-2 yrs",IF(K184&lt;3,"2-3 yrs",IF(K184&lt;5,"3-5 yrs","5+ yrs")))))</f>
        <v>0-1 yrs</v>
      </c>
      <c r="M184" s="11" t="s">
        <v>97</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1" t="n">
        <f aca="false">IF(OR(O184="",E184=""),"",EDATE(E184,12*O184))</f>
        <v>46613</v>
      </c>
      <c r="Q184" s="21" t="n">
        <f aca="false">IF(E184="","",IFERROR(EDATE(E184,12*INDEX('State Rules'!$E$5:$E$11,MATCH($B184,'State Rules'!$A$5:$A$11,0))),""))</f>
        <v>48074</v>
      </c>
      <c r="R184" s="11" t="str">
        <f aca="false">IF(P184="","",IFERROR(IF(P184&lt;=INDEX('State Rules'!$I$5:$I$11,MATCH($B184,'State Rules'!$A$5:$A$11,0)),"Yes","No"),""))</f>
        <v>No</v>
      </c>
      <c r="S184" s="11" t="str">
        <f aca="false">IF(Q184="","",IFERROR(IF(Q184&lt;=INDEX('State Rules'!$I$5:$I$11,MATCH($B184,'State Rules'!$A$5:$A$11,0)),"Yes","No"),""))</f>
        <v>No</v>
      </c>
      <c r="T184" s="8"/>
      <c r="U184" s="8"/>
      <c r="V184" s="23"/>
      <c r="W184" s="23"/>
      <c r="X184" s="23"/>
      <c r="Y184" s="8"/>
      <c r="Z184" s="10" t="n">
        <f aca="false">IF(Q184="","",IF(Q184&lt;=$B$4,N(W184)+N(X184),0))</f>
        <v>0</v>
      </c>
      <c r="AA184" s="10" t="n">
        <f aca="false">IF(OR(LEFT(N184,6)="Larger",LEFT(N184,4)="Memo"),H184,0)</f>
        <v>850</v>
      </c>
    </row>
    <row r="185" customFormat="false" ht="15" hidden="false" customHeight="false" outlineLevel="0" collapsed="false">
      <c r="A185" s="11" t="s">
        <v>52</v>
      </c>
      <c r="B185" s="12" t="str">
        <f aca="false">IFERROR(INDEX(Summary!$B$11:$B$18,MATCH($A185,Summary!$A$11:$A$18,0)),"")</f>
        <v>AL</v>
      </c>
      <c r="C185" s="11" t="s">
        <v>440</v>
      </c>
      <c r="D185" s="11" t="n">
        <v>23</v>
      </c>
      <c r="E185" s="21" t="n">
        <v>46113</v>
      </c>
      <c r="F185" s="11"/>
      <c r="G185" s="11"/>
      <c r="H185" s="10" t="n">
        <v>395</v>
      </c>
      <c r="I185" s="11"/>
      <c r="J185" s="11" t="s">
        <v>97</v>
      </c>
      <c r="K185" s="22" t="n">
        <f aca="false">IF(E185="","",($B$4-E185)/365.25)</f>
        <v>0.514715947980835</v>
      </c>
      <c r="L185" s="11" t="str">
        <f aca="false">IF(K185="","no date",IF(K185&lt;1,"0-1 yrs",IF(K185&lt;2,"1-2 yrs",IF(K185&lt;3,"2-3 yrs",IF(K185&lt;5,"3-5 yrs","5+ yrs")))))</f>
        <v>0-1 yrs</v>
      </c>
      <c r="M185" s="11" t="s">
        <v>97</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1" t="n">
        <f aca="false">IF(OR(O185="",E185=""),"",EDATE(E185,12*O185))</f>
        <v>46478</v>
      </c>
      <c r="Q185" s="21"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3"/>
      <c r="W185" s="23"/>
      <c r="X185" s="23"/>
      <c r="Y185" s="8"/>
      <c r="Z185" s="10" t="n">
        <f aca="false">IF(Q185="","",IF(Q185&lt;=$B$4,N(W185)+N(X185),0))</f>
        <v>0</v>
      </c>
      <c r="AA185" s="10" t="n">
        <f aca="false">IF(OR(LEFT(N185,6)="Larger",LEFT(N185,4)="Memo"),H185,0)</f>
        <v>0</v>
      </c>
    </row>
    <row r="186" customFormat="false" ht="15" hidden="false" customHeight="false" outlineLevel="0" collapsed="false">
      <c r="A186" s="11" t="s">
        <v>52</v>
      </c>
      <c r="B186" s="12" t="str">
        <f aca="false">IFERROR(INDEX(Summary!$B$11:$B$18,MATCH($A186,Summary!$A$11:$A$18,0)),"")</f>
        <v>AL</v>
      </c>
      <c r="C186" s="11" t="s">
        <v>441</v>
      </c>
      <c r="D186" s="11" t="n">
        <v>24</v>
      </c>
      <c r="E186" s="21" t="n">
        <v>46178</v>
      </c>
      <c r="F186" s="11"/>
      <c r="G186" s="11"/>
      <c r="H186" s="10" t="n">
        <v>150</v>
      </c>
      <c r="I186" s="11"/>
      <c r="J186" s="11" t="s">
        <v>97</v>
      </c>
      <c r="K186" s="22" t="n">
        <f aca="false">IF(E186="","",($B$4-E186)/365.25)</f>
        <v>0.336755646817248</v>
      </c>
      <c r="L186" s="11" t="str">
        <f aca="false">IF(K186="","no date",IF(K186&lt;1,"0-1 yrs",IF(K186&lt;2,"1-2 yrs",IF(K186&lt;3,"2-3 yrs",IF(K186&lt;5,"3-5 yrs","5+ yrs")))))</f>
        <v>0-1 yrs</v>
      </c>
      <c r="M186" s="11" t="s">
        <v>97</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1" t="n">
        <f aca="false">IF(OR(O186="",E186=""),"",EDATE(E186,12*O186))</f>
        <v>46543</v>
      </c>
      <c r="Q186" s="21"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3"/>
      <c r="W186" s="23"/>
      <c r="X186" s="23"/>
      <c r="Y186" s="8"/>
      <c r="Z186" s="10" t="n">
        <f aca="false">IF(Q186="","",IF(Q186&lt;=$B$4,N(W186)+N(X186),0))</f>
        <v>0</v>
      </c>
      <c r="AA186" s="10" t="n">
        <f aca="false">IF(OR(LEFT(N186,6)="Larger",LEFT(N186,4)="Memo"),H186,0)</f>
        <v>0</v>
      </c>
    </row>
    <row r="187" customFormat="false" ht="15" hidden="false" customHeight="false" outlineLevel="0" collapsed="false">
      <c r="A187" s="11" t="s">
        <v>52</v>
      </c>
      <c r="B187" s="12" t="str">
        <f aca="false">IFERROR(INDEX(Summary!$B$11:$B$18,MATCH($A187,Summary!$A$11:$A$18,0)),"")</f>
        <v>AL</v>
      </c>
      <c r="C187" s="11" t="s">
        <v>441</v>
      </c>
      <c r="D187" s="11" t="n">
        <v>27</v>
      </c>
      <c r="E187" s="21" t="n">
        <v>46233</v>
      </c>
      <c r="F187" s="11" t="s">
        <v>442</v>
      </c>
      <c r="G187" s="11"/>
      <c r="H187" s="10" t="n">
        <v>100</v>
      </c>
      <c r="I187" s="11"/>
      <c r="J187" s="11" t="s">
        <v>97</v>
      </c>
      <c r="K187" s="22" t="n">
        <f aca="false">IF(E187="","",($B$4-E187)/365.25)</f>
        <v>0.186173853524983</v>
      </c>
      <c r="L187" s="11" t="str">
        <f aca="false">IF(K187="","no date",IF(K187&lt;1,"0-1 yrs",IF(K187&lt;2,"1-2 yrs",IF(K187&lt;3,"2-3 yrs",IF(K187&lt;5,"3-5 yrs","5+ yrs")))))</f>
        <v>0-1 yrs</v>
      </c>
      <c r="M187" s="11" t="s">
        <v>97</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1" t="n">
        <f aca="false">IF(OR(O187="",E187=""),"",EDATE(E187,12*O187))</f>
        <v>46598</v>
      </c>
      <c r="Q187" s="21"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3"/>
      <c r="W187" s="23"/>
      <c r="X187" s="23"/>
      <c r="Y187" s="8"/>
      <c r="Z187" s="10" t="n">
        <f aca="false">IF(Q187="","",IF(Q187&lt;=$B$4,N(W187)+N(X187),0))</f>
        <v>0</v>
      </c>
      <c r="AA187" s="10" t="n">
        <f aca="false">IF(OR(LEFT(N187,6)="Larger",LEFT(N187,4)="Memo"),H187,0)</f>
        <v>0</v>
      </c>
    </row>
    <row r="188" customFormat="false" ht="15" hidden="false" customHeight="false" outlineLevel="0" collapsed="false">
      <c r="A188" s="3" t="s">
        <v>57</v>
      </c>
      <c r="H188" s="25" t="n">
        <f aca="false">SUM(H7:H187)</f>
        <v>226764.46</v>
      </c>
      <c r="V188" s="25" t="n">
        <f aca="false">SUM(V7:V187)</f>
        <v>0</v>
      </c>
      <c r="W188" s="25" t="n">
        <f aca="false">SUM(W7:W187)</f>
        <v>0</v>
      </c>
      <c r="X188" s="25" t="n">
        <f aca="false">SUM(X7:X187)</f>
        <v>0</v>
      </c>
      <c r="Z188" s="25" t="n">
        <f aca="false">SUM(Z7:Z187)</f>
        <v>0</v>
      </c>
      <c r="AA188" s="25" t="n">
        <f aca="false">SUM(AA7:AA187)</f>
        <v>203881.13</v>
      </c>
    </row>
  </sheetData>
  <autoFilter ref="A6:AA187"/>
  <mergeCells count="2">
    <mergeCell ref="A2:AA2"/>
    <mergeCell ref="A3:AA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443</v>
      </c>
    </row>
    <row r="2" customFormat="false" ht="23.85" hidden="false" customHeight="true" outlineLevel="0" collapsed="false">
      <c r="A2" s="2" t="s">
        <v>444</v>
      </c>
      <c r="B2" s="2"/>
      <c r="C2" s="2"/>
      <c r="D2" s="2"/>
      <c r="E2" s="2"/>
      <c r="F2" s="2"/>
      <c r="G2" s="2"/>
    </row>
    <row r="4" customFormat="false" ht="42" hidden="false" customHeight="true" outlineLevel="0" collapsed="false">
      <c r="A4" s="6" t="s">
        <v>8</v>
      </c>
      <c r="B4" s="6" t="s">
        <v>70</v>
      </c>
      <c r="C4" s="6" t="s">
        <v>71</v>
      </c>
      <c r="D4" s="6" t="s">
        <v>72</v>
      </c>
      <c r="E4" s="6" t="s">
        <v>73</v>
      </c>
      <c r="F4" s="6" t="s">
        <v>75</v>
      </c>
    </row>
    <row r="5" customFormat="false" ht="15" hidden="false" customHeight="false" outlineLevel="0" collapsed="false">
      <c r="A5" s="11" t="s">
        <v>36</v>
      </c>
      <c r="B5" s="11" t="s">
        <v>36</v>
      </c>
      <c r="C5" s="11" t="n">
        <v>111</v>
      </c>
      <c r="D5" s="21" t="n">
        <v>46281</v>
      </c>
      <c r="E5" s="11" t="s">
        <v>445</v>
      </c>
      <c r="F5" s="10" t="n">
        <v>124</v>
      </c>
    </row>
    <row r="6" customFormat="false" ht="15" hidden="false" customHeight="false" outlineLevel="0" collapsed="false">
      <c r="A6" s="11" t="s">
        <v>36</v>
      </c>
      <c r="B6" s="11" t="s">
        <v>36</v>
      </c>
      <c r="C6" s="11" t="n">
        <v>137</v>
      </c>
      <c r="D6" s="21" t="n">
        <v>46286</v>
      </c>
      <c r="E6" s="11" t="s">
        <v>446</v>
      </c>
      <c r="F6" s="10" t="n">
        <v>625</v>
      </c>
    </row>
    <row r="7" customFormat="false" ht="15" hidden="false" customHeight="false" outlineLevel="0" collapsed="false">
      <c r="A7" s="11" t="s">
        <v>36</v>
      </c>
      <c r="B7" s="11" t="s">
        <v>36</v>
      </c>
      <c r="C7" s="11" t="n">
        <v>143</v>
      </c>
      <c r="D7" s="21" t="n">
        <v>46286</v>
      </c>
      <c r="E7" s="11" t="s">
        <v>447</v>
      </c>
      <c r="F7" s="10" t="n">
        <v>748.5</v>
      </c>
    </row>
    <row r="8" customFormat="false" ht="15" hidden="false" customHeight="false" outlineLevel="0" collapsed="false">
      <c r="A8" s="11" t="s">
        <v>36</v>
      </c>
      <c r="B8" s="11" t="s">
        <v>36</v>
      </c>
      <c r="C8" s="11" t="n">
        <v>155</v>
      </c>
      <c r="D8" s="21" t="n">
        <v>46286</v>
      </c>
      <c r="E8" s="11" t="s">
        <v>448</v>
      </c>
      <c r="F8" s="10" t="n">
        <v>2599</v>
      </c>
    </row>
    <row r="9" customFormat="false" ht="15" hidden="false" customHeight="false" outlineLevel="0" collapsed="false">
      <c r="A9" s="11" t="s">
        <v>36</v>
      </c>
      <c r="B9" s="11" t="s">
        <v>36</v>
      </c>
      <c r="C9" s="11" t="n">
        <v>165</v>
      </c>
      <c r="D9" s="21" t="n">
        <v>46288</v>
      </c>
      <c r="E9" s="11" t="s">
        <v>449</v>
      </c>
      <c r="F9" s="10" t="n">
        <v>500</v>
      </c>
    </row>
    <row r="10" customFormat="false" ht="15" hidden="false" customHeight="false" outlineLevel="0" collapsed="false">
      <c r="A10" s="11" t="s">
        <v>36</v>
      </c>
      <c r="B10" s="11" t="s">
        <v>36</v>
      </c>
      <c r="C10" s="11" t="n">
        <v>172</v>
      </c>
      <c r="D10" s="21" t="n">
        <v>46289</v>
      </c>
      <c r="E10" s="11" t="s">
        <v>450</v>
      </c>
      <c r="F10" s="10" t="n">
        <v>2300</v>
      </c>
    </row>
    <row r="11" customFormat="false" ht="15" hidden="false" customHeight="false" outlineLevel="0" collapsed="false">
      <c r="A11" s="11" t="s">
        <v>36</v>
      </c>
      <c r="B11" s="11" t="s">
        <v>36</v>
      </c>
      <c r="C11" s="11" t="n">
        <v>220</v>
      </c>
      <c r="D11" s="21" t="n">
        <v>46297</v>
      </c>
      <c r="E11" s="11" t="s">
        <v>451</v>
      </c>
      <c r="F11" s="10" t="n">
        <v>644</v>
      </c>
    </row>
    <row r="12" customFormat="false" ht="15" hidden="false" customHeight="false" outlineLevel="0" collapsed="false">
      <c r="A12" s="11" t="s">
        <v>36</v>
      </c>
      <c r="B12" s="11" t="s">
        <v>36</v>
      </c>
      <c r="C12" s="11" t="n">
        <v>229</v>
      </c>
      <c r="D12" s="21" t="n">
        <v>46300</v>
      </c>
      <c r="E12" s="11" t="s">
        <v>452</v>
      </c>
      <c r="F12" s="10" t="n">
        <v>644</v>
      </c>
    </row>
    <row r="13" customFormat="false" ht="15" hidden="false" customHeight="false" outlineLevel="0" collapsed="false">
      <c r="A13" s="11" t="s">
        <v>36</v>
      </c>
      <c r="B13" s="11" t="s">
        <v>36</v>
      </c>
      <c r="C13" s="11" t="n">
        <v>230</v>
      </c>
      <c r="D13" s="21" t="n">
        <v>46300</v>
      </c>
      <c r="E13" s="11" t="s">
        <v>453</v>
      </c>
      <c r="F13" s="10" t="n">
        <v>644</v>
      </c>
    </row>
    <row r="14" customFormat="false" ht="15" hidden="false" customHeight="false" outlineLevel="0" collapsed="false">
      <c r="A14" s="11" t="s">
        <v>36</v>
      </c>
      <c r="B14" s="11" t="s">
        <v>36</v>
      </c>
      <c r="C14" s="11" t="n">
        <v>231</v>
      </c>
      <c r="D14" s="21" t="n">
        <v>46300</v>
      </c>
      <c r="E14" s="11" t="s">
        <v>454</v>
      </c>
      <c r="F14" s="10" t="n">
        <v>644</v>
      </c>
    </row>
    <row r="15" customFormat="false" ht="15" hidden="false" customHeight="false" outlineLevel="0" collapsed="false">
      <c r="A15" s="11" t="s">
        <v>36</v>
      </c>
      <c r="B15" s="11" t="s">
        <v>36</v>
      </c>
      <c r="C15" s="11" t="n">
        <v>232</v>
      </c>
      <c r="D15" s="21" t="n">
        <v>46300</v>
      </c>
      <c r="E15" s="11" t="s">
        <v>455</v>
      </c>
      <c r="F15" s="10" t="n">
        <v>644</v>
      </c>
    </row>
    <row r="16" customFormat="false" ht="15" hidden="false" customHeight="false" outlineLevel="0" collapsed="false">
      <c r="A16" s="11" t="s">
        <v>36</v>
      </c>
      <c r="B16" s="11" t="s">
        <v>36</v>
      </c>
      <c r="C16" s="11" t="n">
        <v>233</v>
      </c>
      <c r="D16" s="21" t="n">
        <v>46300</v>
      </c>
      <c r="E16" s="11" t="s">
        <v>456</v>
      </c>
      <c r="F16" s="10" t="n">
        <v>780</v>
      </c>
    </row>
    <row r="17" customFormat="false" ht="15" hidden="false" customHeight="false" outlineLevel="0" collapsed="false">
      <c r="A17" s="11" t="s">
        <v>36</v>
      </c>
      <c r="B17" s="11" t="s">
        <v>36</v>
      </c>
      <c r="C17" s="11" t="n">
        <v>234</v>
      </c>
      <c r="D17" s="21" t="n">
        <v>46300</v>
      </c>
      <c r="E17" s="11" t="s">
        <v>457</v>
      </c>
      <c r="F17" s="10" t="n">
        <v>1002.37</v>
      </c>
    </row>
    <row r="18" customFormat="false" ht="15" hidden="false" customHeight="false" outlineLevel="0" collapsed="false">
      <c r="A18" s="11" t="s">
        <v>36</v>
      </c>
      <c r="B18" s="11" t="s">
        <v>36</v>
      </c>
      <c r="C18" s="11" t="n">
        <v>235</v>
      </c>
      <c r="D18" s="21" t="n">
        <v>46300</v>
      </c>
      <c r="E18" s="11" t="s">
        <v>458</v>
      </c>
      <c r="F18" s="10" t="n">
        <v>1600</v>
      </c>
    </row>
    <row r="19" customFormat="false" ht="15" hidden="false" customHeight="false" outlineLevel="0" collapsed="false">
      <c r="A19" s="11" t="s">
        <v>36</v>
      </c>
      <c r="B19" s="11" t="s">
        <v>36</v>
      </c>
      <c r="C19" s="11" t="n">
        <v>236</v>
      </c>
      <c r="D19" s="21" t="n">
        <v>46300</v>
      </c>
      <c r="E19" s="11" t="s">
        <v>459</v>
      </c>
      <c r="F19" s="10" t="n">
        <v>2088</v>
      </c>
    </row>
    <row r="20" customFormat="false" ht="15" hidden="false" customHeight="false" outlineLevel="0" collapsed="false">
      <c r="A20" s="11" t="s">
        <v>43</v>
      </c>
      <c r="B20" s="11" t="s">
        <v>460</v>
      </c>
      <c r="C20" s="11" t="n">
        <v>53</v>
      </c>
      <c r="D20" s="21" t="n">
        <v>46297</v>
      </c>
      <c r="E20" s="11" t="s">
        <v>461</v>
      </c>
      <c r="F20" s="10" t="n">
        <v>4400</v>
      </c>
    </row>
    <row r="21" customFormat="false" ht="15" hidden="false" customHeight="false" outlineLevel="0" collapsed="false">
      <c r="A21" s="11" t="s">
        <v>43</v>
      </c>
      <c r="B21" s="11" t="s">
        <v>460</v>
      </c>
      <c r="C21" s="11" t="n">
        <v>57</v>
      </c>
      <c r="D21" s="21" t="n">
        <v>46300</v>
      </c>
      <c r="E21" s="11" t="s">
        <v>462</v>
      </c>
      <c r="F21" s="10" t="n">
        <v>700</v>
      </c>
    </row>
    <row r="22" customFormat="false" ht="15" hidden="false" customHeight="false" outlineLevel="0" collapsed="false">
      <c r="A22" s="11" t="s">
        <v>43</v>
      </c>
      <c r="B22" s="11" t="s">
        <v>463</v>
      </c>
      <c r="C22" s="11" t="n">
        <v>38</v>
      </c>
      <c r="D22" s="21" t="n">
        <v>46296</v>
      </c>
      <c r="E22" s="11"/>
      <c r="F22" s="10" t="n">
        <v>250</v>
      </c>
    </row>
    <row r="23" customFormat="false" ht="15" hidden="false" customHeight="false" outlineLevel="0" collapsed="false">
      <c r="A23" s="11" t="s">
        <v>43</v>
      </c>
      <c r="B23" s="11" t="s">
        <v>463</v>
      </c>
      <c r="C23" s="11" t="n">
        <v>39</v>
      </c>
      <c r="D23" s="21" t="n">
        <v>46300</v>
      </c>
      <c r="E23" s="11"/>
      <c r="F23" s="10" t="n">
        <v>12995</v>
      </c>
    </row>
    <row r="24" customFormat="false" ht="15" hidden="false" customHeight="false" outlineLevel="0" collapsed="false">
      <c r="A24" s="11" t="s">
        <v>39</v>
      </c>
      <c r="B24" s="11" t="s">
        <v>39</v>
      </c>
      <c r="C24" s="11" t="n">
        <v>85</v>
      </c>
      <c r="D24" s="21" t="n">
        <v>46286</v>
      </c>
      <c r="E24" s="11" t="s">
        <v>464</v>
      </c>
      <c r="F24" s="10" t="n">
        <v>1175</v>
      </c>
    </row>
    <row r="25" customFormat="false" ht="15" hidden="false" customHeight="false" outlineLevel="0" collapsed="false">
      <c r="A25" s="11" t="s">
        <v>39</v>
      </c>
      <c r="B25" s="11" t="s">
        <v>39</v>
      </c>
      <c r="C25" s="11" t="n">
        <v>100</v>
      </c>
      <c r="D25" s="21" t="n">
        <v>46293</v>
      </c>
      <c r="E25" s="11" t="s">
        <v>465</v>
      </c>
      <c r="F25" s="10" t="n">
        <v>178.6</v>
      </c>
    </row>
    <row r="26" customFormat="false" ht="15" hidden="false" customHeight="false" outlineLevel="0" collapsed="false">
      <c r="A26" s="11" t="s">
        <v>39</v>
      </c>
      <c r="B26" s="11" t="s">
        <v>39</v>
      </c>
      <c r="C26" s="11" t="n">
        <v>102</v>
      </c>
      <c r="D26" s="21" t="n">
        <v>46293</v>
      </c>
      <c r="E26" s="11" t="s">
        <v>466</v>
      </c>
      <c r="F26" s="10" t="n">
        <v>295</v>
      </c>
    </row>
    <row r="27" customFormat="false" ht="15" hidden="false" customHeight="false" outlineLevel="0" collapsed="false">
      <c r="A27" s="11" t="s">
        <v>39</v>
      </c>
      <c r="B27" s="11" t="s">
        <v>39</v>
      </c>
      <c r="C27" s="11" t="n">
        <v>109</v>
      </c>
      <c r="D27" s="21" t="n">
        <v>46294</v>
      </c>
      <c r="E27" s="11" t="s">
        <v>467</v>
      </c>
      <c r="F27" s="10" t="n">
        <v>250</v>
      </c>
    </row>
    <row r="28" customFormat="false" ht="15" hidden="false" customHeight="false" outlineLevel="0" collapsed="false">
      <c r="A28" s="11" t="s">
        <v>39</v>
      </c>
      <c r="B28" s="11" t="s">
        <v>39</v>
      </c>
      <c r="C28" s="11" t="n">
        <v>119</v>
      </c>
      <c r="D28" s="21" t="n">
        <v>46297</v>
      </c>
      <c r="E28" s="11" t="s">
        <v>468</v>
      </c>
      <c r="F28" s="10" t="n">
        <v>1950</v>
      </c>
    </row>
    <row r="29" customFormat="false" ht="15" hidden="false" customHeight="false" outlineLevel="0" collapsed="false">
      <c r="A29" s="11" t="s">
        <v>39</v>
      </c>
      <c r="B29" s="11" t="s">
        <v>39</v>
      </c>
      <c r="C29" s="11" t="n">
        <v>121</v>
      </c>
      <c r="D29" s="21" t="n">
        <v>46300</v>
      </c>
      <c r="E29" s="11" t="s">
        <v>469</v>
      </c>
      <c r="F29" s="10" t="n">
        <v>40</v>
      </c>
    </row>
    <row r="30" customFormat="false" ht="15" hidden="false" customHeight="false" outlineLevel="0" collapsed="false">
      <c r="A30" s="11" t="s">
        <v>39</v>
      </c>
      <c r="B30" s="11" t="s">
        <v>39</v>
      </c>
      <c r="C30" s="11" t="n">
        <v>122</v>
      </c>
      <c r="D30" s="21" t="n">
        <v>46300</v>
      </c>
      <c r="E30" s="11" t="s">
        <v>470</v>
      </c>
      <c r="F30" s="10" t="n">
        <v>644</v>
      </c>
    </row>
    <row r="31" customFormat="false" ht="15" hidden="false" customHeight="false" outlineLevel="0" collapsed="false">
      <c r="A31" s="11" t="s">
        <v>39</v>
      </c>
      <c r="B31" s="11" t="s">
        <v>39</v>
      </c>
      <c r="C31" s="11" t="n">
        <v>123</v>
      </c>
      <c r="D31" s="21" t="n">
        <v>46300</v>
      </c>
      <c r="E31" s="11" t="s">
        <v>471</v>
      </c>
      <c r="F31" s="10" t="n">
        <v>644</v>
      </c>
    </row>
    <row r="32" customFormat="false" ht="15" hidden="false" customHeight="false" outlineLevel="0" collapsed="false">
      <c r="A32" s="11" t="s">
        <v>39</v>
      </c>
      <c r="B32" s="11" t="s">
        <v>39</v>
      </c>
      <c r="C32" s="11" t="n">
        <v>124</v>
      </c>
      <c r="D32" s="21" t="n">
        <v>46300</v>
      </c>
      <c r="E32" s="11" t="s">
        <v>472</v>
      </c>
      <c r="F32" s="10" t="n">
        <v>1194.5</v>
      </c>
    </row>
    <row r="33" customFormat="false" ht="15" hidden="false" customHeight="false" outlineLevel="0" collapsed="false">
      <c r="A33" s="11" t="s">
        <v>39</v>
      </c>
      <c r="B33" s="11" t="s">
        <v>39</v>
      </c>
      <c r="C33" s="11" t="n">
        <v>125</v>
      </c>
      <c r="D33" s="21" t="n">
        <v>46300</v>
      </c>
      <c r="E33" s="11" t="s">
        <v>473</v>
      </c>
      <c r="F33" s="10" t="n">
        <v>1750</v>
      </c>
    </row>
    <row r="34" customFormat="false" ht="15" hidden="false" customHeight="false" outlineLevel="0" collapsed="false">
      <c r="A34" s="11" t="s">
        <v>39</v>
      </c>
      <c r="B34" s="11" t="s">
        <v>39</v>
      </c>
      <c r="C34" s="11" t="n">
        <v>126</v>
      </c>
      <c r="D34" s="21" t="n">
        <v>46300</v>
      </c>
      <c r="E34" s="11" t="s">
        <v>474</v>
      </c>
      <c r="F34" s="10" t="n">
        <v>1950.83</v>
      </c>
    </row>
    <row r="35" customFormat="false" ht="15" hidden="false" customHeight="false" outlineLevel="0" collapsed="false">
      <c r="A35" s="11" t="s">
        <v>46</v>
      </c>
      <c r="B35" s="11" t="s">
        <v>460</v>
      </c>
      <c r="C35" s="11" t="n">
        <v>40</v>
      </c>
      <c r="D35" s="21" t="n">
        <v>46281</v>
      </c>
      <c r="E35" s="11" t="s">
        <v>475</v>
      </c>
      <c r="F35" s="10" t="n">
        <v>35</v>
      </c>
    </row>
    <row r="36" customFormat="false" ht="15" hidden="false" customHeight="false" outlineLevel="0" collapsed="false">
      <c r="A36" s="11" t="s">
        <v>46</v>
      </c>
      <c r="B36" s="11" t="s">
        <v>460</v>
      </c>
      <c r="C36" s="11" t="n">
        <v>60</v>
      </c>
      <c r="D36" s="21" t="n">
        <v>46289</v>
      </c>
      <c r="E36" s="11" t="s">
        <v>435</v>
      </c>
      <c r="F36" s="10" t="n">
        <v>11375</v>
      </c>
    </row>
    <row r="37" customFormat="false" ht="15" hidden="false" customHeight="false" outlineLevel="0" collapsed="false">
      <c r="A37" s="11" t="s">
        <v>46</v>
      </c>
      <c r="B37" s="11" t="s">
        <v>460</v>
      </c>
      <c r="C37" s="11" t="n">
        <v>61</v>
      </c>
      <c r="D37" s="21" t="n">
        <v>46290</v>
      </c>
      <c r="E37" s="11" t="s">
        <v>476</v>
      </c>
      <c r="F37" s="10" t="n">
        <v>1800</v>
      </c>
    </row>
    <row r="38" customFormat="false" ht="15" hidden="false" customHeight="false" outlineLevel="0" collapsed="false">
      <c r="A38" s="11" t="s">
        <v>46</v>
      </c>
      <c r="B38" s="11" t="s">
        <v>460</v>
      </c>
      <c r="C38" s="11" t="n">
        <v>66</v>
      </c>
      <c r="D38" s="21" t="n">
        <v>46294</v>
      </c>
      <c r="E38" s="11" t="s">
        <v>435</v>
      </c>
      <c r="F38" s="10" t="n">
        <v>125</v>
      </c>
    </row>
    <row r="39" customFormat="false" ht="15" hidden="false" customHeight="false" outlineLevel="0" collapsed="false">
      <c r="A39" s="11" t="s">
        <v>46</v>
      </c>
      <c r="B39" s="11" t="s">
        <v>460</v>
      </c>
      <c r="C39" s="11" t="n">
        <v>71</v>
      </c>
      <c r="D39" s="21" t="n">
        <v>46295</v>
      </c>
      <c r="E39" s="11" t="s">
        <v>477</v>
      </c>
      <c r="F39" s="10" t="n">
        <v>644</v>
      </c>
    </row>
    <row r="40" customFormat="false" ht="15" hidden="false" customHeight="false" outlineLevel="0" collapsed="false">
      <c r="A40" s="11" t="s">
        <v>46</v>
      </c>
      <c r="B40" s="11" t="s">
        <v>460</v>
      </c>
      <c r="C40" s="11" t="n">
        <v>72</v>
      </c>
      <c r="D40" s="21" t="n">
        <v>46295</v>
      </c>
      <c r="E40" s="11" t="s">
        <v>478</v>
      </c>
      <c r="F40" s="10" t="n">
        <v>2512.5</v>
      </c>
    </row>
    <row r="41" customFormat="false" ht="15" hidden="false" customHeight="false" outlineLevel="0" collapsed="false">
      <c r="A41" s="11" t="s">
        <v>46</v>
      </c>
      <c r="B41" s="11" t="s">
        <v>460</v>
      </c>
      <c r="C41" s="11" t="n">
        <v>73</v>
      </c>
      <c r="D41" s="21" t="n">
        <v>46296</v>
      </c>
      <c r="E41" s="11" t="s">
        <v>435</v>
      </c>
      <c r="F41" s="10" t="n">
        <v>3295</v>
      </c>
    </row>
    <row r="42" customFormat="false" ht="15" hidden="false" customHeight="false" outlineLevel="0" collapsed="false">
      <c r="A42" s="11" t="s">
        <v>46</v>
      </c>
      <c r="B42" s="11" t="s">
        <v>460</v>
      </c>
      <c r="C42" s="11" t="n">
        <v>76</v>
      </c>
      <c r="D42" s="21" t="n">
        <v>46297</v>
      </c>
      <c r="E42" s="11" t="s">
        <v>435</v>
      </c>
      <c r="F42" s="10" t="n">
        <v>5055</v>
      </c>
    </row>
    <row r="43" customFormat="false" ht="15" hidden="false" customHeight="false" outlineLevel="0" collapsed="false">
      <c r="A43" s="11" t="s">
        <v>46</v>
      </c>
      <c r="B43" s="11" t="s">
        <v>460</v>
      </c>
      <c r="C43" s="11" t="n">
        <v>77</v>
      </c>
      <c r="D43" s="21" t="n">
        <v>46297</v>
      </c>
      <c r="E43" s="11" t="s">
        <v>435</v>
      </c>
      <c r="F43" s="10" t="n">
        <v>8595</v>
      </c>
    </row>
    <row r="44" customFormat="false" ht="15" hidden="false" customHeight="false" outlineLevel="0" collapsed="false">
      <c r="A44" s="11" t="s">
        <v>46</v>
      </c>
      <c r="B44" s="11" t="s">
        <v>460</v>
      </c>
      <c r="C44" s="11" t="n">
        <v>78</v>
      </c>
      <c r="D44" s="21" t="n">
        <v>46300</v>
      </c>
      <c r="E44" s="11" t="s">
        <v>479</v>
      </c>
      <c r="F44" s="10" t="n">
        <v>595</v>
      </c>
    </row>
    <row r="45" customFormat="false" ht="15" hidden="false" customHeight="false" outlineLevel="0" collapsed="false">
      <c r="A45" s="11" t="s">
        <v>46</v>
      </c>
      <c r="B45" s="11" t="s">
        <v>460</v>
      </c>
      <c r="C45" s="11" t="n">
        <v>79</v>
      </c>
      <c r="D45" s="21" t="n">
        <v>46300</v>
      </c>
      <c r="E45" s="11" t="s">
        <v>480</v>
      </c>
      <c r="F45" s="10" t="n">
        <v>15060</v>
      </c>
    </row>
    <row r="46" customFormat="false" ht="15" hidden="false" customHeight="false" outlineLevel="0" collapsed="false">
      <c r="A46" s="11" t="s">
        <v>41</v>
      </c>
      <c r="B46" s="11" t="s">
        <v>41</v>
      </c>
      <c r="C46" s="11" t="n">
        <v>43</v>
      </c>
      <c r="D46" s="21" t="n">
        <v>46269</v>
      </c>
      <c r="E46" s="11" t="s">
        <v>481</v>
      </c>
      <c r="F46" s="10" t="n">
        <v>800</v>
      </c>
    </row>
    <row r="47" customFormat="false" ht="15" hidden="false" customHeight="false" outlineLevel="0" collapsed="false">
      <c r="A47" s="11" t="s">
        <v>41</v>
      </c>
      <c r="B47" s="11" t="s">
        <v>41</v>
      </c>
      <c r="C47" s="11" t="n">
        <v>56</v>
      </c>
      <c r="D47" s="21" t="n">
        <v>46276</v>
      </c>
      <c r="E47" s="11" t="s">
        <v>482</v>
      </c>
      <c r="F47" s="10" t="n">
        <v>1225</v>
      </c>
    </row>
    <row r="48" customFormat="false" ht="15" hidden="false" customHeight="false" outlineLevel="0" collapsed="false">
      <c r="A48" s="11" t="s">
        <v>41</v>
      </c>
      <c r="B48" s="11" t="s">
        <v>41</v>
      </c>
      <c r="C48" s="11" t="n">
        <v>79</v>
      </c>
      <c r="D48" s="21" t="n">
        <v>46286</v>
      </c>
      <c r="E48" s="11" t="s">
        <v>483</v>
      </c>
      <c r="F48" s="10" t="n">
        <v>1867</v>
      </c>
    </row>
    <row r="49" customFormat="false" ht="15" hidden="false" customHeight="false" outlineLevel="0" collapsed="false">
      <c r="A49" s="11" t="s">
        <v>41</v>
      </c>
      <c r="B49" s="11" t="s">
        <v>41</v>
      </c>
      <c r="C49" s="11" t="n">
        <v>87</v>
      </c>
      <c r="D49" s="21" t="n">
        <v>46290</v>
      </c>
      <c r="E49" s="11" t="s">
        <v>484</v>
      </c>
      <c r="F49" s="10" t="n">
        <v>1393</v>
      </c>
    </row>
    <row r="50" customFormat="false" ht="15" hidden="false" customHeight="false" outlineLevel="0" collapsed="false">
      <c r="A50" s="11" t="s">
        <v>41</v>
      </c>
      <c r="B50" s="11" t="s">
        <v>41</v>
      </c>
      <c r="C50" s="11" t="n">
        <v>99</v>
      </c>
      <c r="D50" s="21" t="n">
        <v>46293</v>
      </c>
      <c r="E50" s="11" t="s">
        <v>485</v>
      </c>
      <c r="F50" s="10" t="n">
        <v>11324.2</v>
      </c>
    </row>
    <row r="51" customFormat="false" ht="15" hidden="false" customHeight="false" outlineLevel="0" collapsed="false">
      <c r="A51" s="11" t="s">
        <v>41</v>
      </c>
      <c r="B51" s="11" t="s">
        <v>41</v>
      </c>
      <c r="C51" s="11" t="n">
        <v>113</v>
      </c>
      <c r="D51" s="21" t="n">
        <v>46300</v>
      </c>
      <c r="E51" s="11" t="s">
        <v>486</v>
      </c>
      <c r="F51" s="10" t="n">
        <v>315</v>
      </c>
    </row>
    <row r="52" customFormat="false" ht="15" hidden="false" customHeight="false" outlineLevel="0" collapsed="false">
      <c r="A52" s="11" t="s">
        <v>41</v>
      </c>
      <c r="B52" s="11" t="s">
        <v>41</v>
      </c>
      <c r="C52" s="11" t="n">
        <v>114</v>
      </c>
      <c r="D52" s="21" t="n">
        <v>46300</v>
      </c>
      <c r="E52" s="11" t="s">
        <v>487</v>
      </c>
      <c r="F52" s="10" t="n">
        <v>350</v>
      </c>
    </row>
    <row r="53" customFormat="false" ht="15" hidden="false" customHeight="false" outlineLevel="0" collapsed="false">
      <c r="A53" s="11" t="s">
        <v>41</v>
      </c>
      <c r="B53" s="11" t="s">
        <v>41</v>
      </c>
      <c r="C53" s="11" t="n">
        <v>115</v>
      </c>
      <c r="D53" s="21" t="n">
        <v>46300</v>
      </c>
      <c r="E53" s="11" t="s">
        <v>488</v>
      </c>
      <c r="F53" s="10" t="n">
        <v>945</v>
      </c>
    </row>
    <row r="54" customFormat="false" ht="15" hidden="false" customHeight="false" outlineLevel="0" collapsed="false">
      <c r="A54" s="11" t="s">
        <v>41</v>
      </c>
      <c r="B54" s="11" t="s">
        <v>41</v>
      </c>
      <c r="C54" s="11" t="n">
        <v>116</v>
      </c>
      <c r="D54" s="21" t="n">
        <v>46300</v>
      </c>
      <c r="E54" s="11" t="s">
        <v>489</v>
      </c>
      <c r="F54" s="10" t="n">
        <v>1835</v>
      </c>
    </row>
    <row r="55" customFormat="false" ht="15" hidden="false" customHeight="false" outlineLevel="0" collapsed="false">
      <c r="A55" s="11" t="s">
        <v>52</v>
      </c>
      <c r="B55" s="11" t="s">
        <v>490</v>
      </c>
      <c r="C55" s="11" t="n">
        <v>25</v>
      </c>
      <c r="D55" s="21" t="n">
        <v>46269</v>
      </c>
      <c r="E55" s="11"/>
      <c r="F55" s="10" t="n">
        <v>2370</v>
      </c>
    </row>
    <row r="56" customFormat="false" ht="15" hidden="false" customHeight="false" outlineLevel="0" collapsed="false">
      <c r="A56" s="11" t="s">
        <v>52</v>
      </c>
      <c r="B56" s="11" t="s">
        <v>490</v>
      </c>
      <c r="C56" s="11" t="n">
        <v>55</v>
      </c>
      <c r="D56" s="21" t="n">
        <v>46281</v>
      </c>
      <c r="E56" s="11"/>
      <c r="F56" s="10" t="n">
        <v>900</v>
      </c>
    </row>
    <row r="57" customFormat="false" ht="15" hidden="false" customHeight="false" outlineLevel="0" collapsed="false">
      <c r="A57" s="11" t="s">
        <v>52</v>
      </c>
      <c r="B57" s="11" t="s">
        <v>490</v>
      </c>
      <c r="C57" s="11" t="n">
        <v>92</v>
      </c>
      <c r="D57" s="21" t="n">
        <v>46297</v>
      </c>
      <c r="E57" s="11"/>
      <c r="F57" s="10" t="n">
        <v>3000</v>
      </c>
    </row>
    <row r="58" customFormat="false" ht="15" hidden="false" customHeight="false" outlineLevel="0" collapsed="false">
      <c r="A58" s="11" t="s">
        <v>52</v>
      </c>
      <c r="B58" s="11" t="s">
        <v>490</v>
      </c>
      <c r="C58" s="11" t="n">
        <v>93</v>
      </c>
      <c r="D58" s="21" t="n">
        <v>46300</v>
      </c>
      <c r="E58" s="11"/>
      <c r="F58" s="10" t="n">
        <v>6372.5</v>
      </c>
    </row>
    <row r="59" customFormat="false" ht="15" hidden="false" customHeight="false" outlineLevel="0" collapsed="false">
      <c r="A59" s="11" t="s">
        <v>52</v>
      </c>
      <c r="B59" s="11" t="s">
        <v>490</v>
      </c>
      <c r="C59" s="11" t="n">
        <v>94</v>
      </c>
      <c r="D59" s="21" t="n">
        <v>46300</v>
      </c>
      <c r="E59" s="11"/>
      <c r="F59" s="10" t="n">
        <v>7650</v>
      </c>
    </row>
    <row r="60" customFormat="false" ht="15" hidden="false" customHeight="false" outlineLevel="0" collapsed="false">
      <c r="A60" s="11" t="s">
        <v>52</v>
      </c>
      <c r="B60" s="11" t="s">
        <v>490</v>
      </c>
      <c r="C60" s="11" t="n">
        <v>95</v>
      </c>
      <c r="D60" s="21" t="n">
        <v>46300</v>
      </c>
      <c r="E60" s="11"/>
      <c r="F60" s="10" t="n">
        <v>8100</v>
      </c>
    </row>
    <row r="61" customFormat="false" ht="15" hidden="false" customHeight="false" outlineLevel="0" collapsed="false">
      <c r="A61" s="11" t="s">
        <v>52</v>
      </c>
      <c r="B61" s="11" t="s">
        <v>440</v>
      </c>
      <c r="C61" s="11" t="n">
        <v>34</v>
      </c>
      <c r="D61" s="21" t="n">
        <v>46283</v>
      </c>
      <c r="E61" s="11"/>
      <c r="F61" s="10" t="n">
        <v>3000</v>
      </c>
    </row>
    <row r="62" customFormat="false" ht="15" hidden="false" customHeight="false" outlineLevel="0" collapsed="false">
      <c r="A62" s="3" t="s">
        <v>57</v>
      </c>
      <c r="F62" s="25"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491</v>
      </c>
    </row>
    <row r="3" customFormat="false" ht="42" hidden="false" customHeight="true" outlineLevel="0" collapsed="false">
      <c r="A3" s="6" t="s">
        <v>492</v>
      </c>
      <c r="B3" s="6" t="s">
        <v>493</v>
      </c>
      <c r="C3" s="6" t="s">
        <v>494</v>
      </c>
      <c r="D3" s="6" t="s">
        <v>495</v>
      </c>
    </row>
    <row r="4" customFormat="false" ht="75" hidden="false" customHeight="true" outlineLevel="0" collapsed="false">
      <c r="A4" s="11" t="n">
        <v>1</v>
      </c>
      <c r="B4" s="26" t="s">
        <v>496</v>
      </c>
      <c r="C4" s="14" t="s">
        <v>497</v>
      </c>
      <c r="D4" s="14" t="s">
        <v>498</v>
      </c>
    </row>
    <row r="5" customFormat="false" ht="75" hidden="false" customHeight="true" outlineLevel="0" collapsed="false">
      <c r="A5" s="11" t="n">
        <v>2</v>
      </c>
      <c r="B5" s="26" t="s">
        <v>499</v>
      </c>
      <c r="C5" s="14" t="s">
        <v>500</v>
      </c>
      <c r="D5" s="14" t="s">
        <v>501</v>
      </c>
    </row>
    <row r="6" customFormat="false" ht="75" hidden="false" customHeight="true" outlineLevel="0" collapsed="false">
      <c r="A6" s="11" t="n">
        <v>3</v>
      </c>
      <c r="B6" s="26" t="s">
        <v>502</v>
      </c>
      <c r="C6" s="14" t="s">
        <v>503</v>
      </c>
      <c r="D6" s="14" t="s">
        <v>504</v>
      </c>
    </row>
    <row r="7" customFormat="false" ht="75" hidden="false" customHeight="true" outlineLevel="0" collapsed="false">
      <c r="A7" s="11" t="n">
        <v>4</v>
      </c>
      <c r="B7" s="26" t="s">
        <v>505</v>
      </c>
      <c r="C7" s="14" t="s">
        <v>506</v>
      </c>
      <c r="D7" s="14" t="s">
        <v>507</v>
      </c>
    </row>
    <row r="8" customFormat="false" ht="75" hidden="false" customHeight="true" outlineLevel="0" collapsed="false">
      <c r="A8" s="11" t="n">
        <v>5</v>
      </c>
      <c r="B8" s="26" t="s">
        <v>508</v>
      </c>
      <c r="C8" s="14" t="s">
        <v>509</v>
      </c>
      <c r="D8" s="14" t="s">
        <v>510</v>
      </c>
    </row>
    <row r="9" customFormat="false" ht="75" hidden="false" customHeight="true" outlineLevel="0" collapsed="false">
      <c r="A9" s="11" t="n">
        <v>6</v>
      </c>
      <c r="B9" s="26" t="s">
        <v>511</v>
      </c>
      <c r="C9" s="14" t="s">
        <v>512</v>
      </c>
      <c r="D9" s="14" t="s">
        <v>513</v>
      </c>
    </row>
    <row r="10" customFormat="false" ht="75" hidden="false" customHeight="true" outlineLevel="0" collapsed="false">
      <c r="A10" s="11" t="n">
        <v>7</v>
      </c>
      <c r="B10" s="26" t="s">
        <v>514</v>
      </c>
      <c r="C10" s="14" t="s">
        <v>515</v>
      </c>
      <c r="D10" s="14" t="s">
        <v>507</v>
      </c>
    </row>
    <row r="11" customFormat="false" ht="75" hidden="false" customHeight="true" outlineLevel="0" collapsed="false">
      <c r="A11" s="11" t="n">
        <v>8</v>
      </c>
      <c r="B11" s="26" t="s">
        <v>516</v>
      </c>
      <c r="C11" s="14" t="s">
        <v>517</v>
      </c>
      <c r="D11" s="14" t="s">
        <v>518</v>
      </c>
    </row>
    <row r="12" customFormat="false" ht="75" hidden="false" customHeight="true" outlineLevel="0" collapsed="false">
      <c r="A12" s="11" t="n">
        <v>9</v>
      </c>
      <c r="B12" s="26" t="s">
        <v>519</v>
      </c>
      <c r="C12" s="14" t="s">
        <v>520</v>
      </c>
      <c r="D12" s="14" t="s">
        <v>521</v>
      </c>
    </row>
    <row r="13" customFormat="false" ht="75" hidden="false" customHeight="true" outlineLevel="0" collapsed="false">
      <c r="A13" s="11" t="n">
        <v>10</v>
      </c>
      <c r="B13" s="26" t="s">
        <v>522</v>
      </c>
      <c r="C13" s="14" t="s">
        <v>523</v>
      </c>
      <c r="D13" s="14" t="s">
        <v>524</v>
      </c>
    </row>
    <row r="14" customFormat="false" ht="75" hidden="false" customHeight="true" outlineLevel="0" collapsed="false">
      <c r="A14" s="11" t="n">
        <v>11</v>
      </c>
      <c r="B14" s="26" t="s">
        <v>525</v>
      </c>
      <c r="C14" s="14" t="s">
        <v>526</v>
      </c>
      <c r="D14" s="14" t="s">
        <v>507</v>
      </c>
    </row>
    <row r="15" customFormat="false" ht="75" hidden="false" customHeight="true" outlineLevel="0" collapsed="false">
      <c r="A15" s="11" t="n">
        <v>12</v>
      </c>
      <c r="B15" s="26" t="s">
        <v>527</v>
      </c>
      <c r="C15" s="14" t="s">
        <v>528</v>
      </c>
      <c r="D15" s="14" t="s">
        <v>529</v>
      </c>
    </row>
    <row r="16" customFormat="false" ht="75" hidden="false" customHeight="true" outlineLevel="0" collapsed="false">
      <c r="A16" s="11" t="n">
        <v>13</v>
      </c>
      <c r="B16" s="26" t="s">
        <v>530</v>
      </c>
      <c r="C16" s="14" t="s">
        <v>531</v>
      </c>
      <c r="D16" s="14" t="s">
        <v>529</v>
      </c>
    </row>
    <row r="17" customFormat="false" ht="75" hidden="false" customHeight="true" outlineLevel="0" collapsed="false">
      <c r="A17" s="11" t="n">
        <v>14</v>
      </c>
      <c r="B17" s="26" t="s">
        <v>532</v>
      </c>
      <c r="C17" s="14" t="s">
        <v>533</v>
      </c>
      <c r="D17" s="14" t="s">
        <v>534</v>
      </c>
    </row>
    <row r="18" customFormat="false" ht="75" hidden="false" customHeight="true" outlineLevel="0" collapsed="false">
      <c r="A18" s="11" t="n">
        <v>15</v>
      </c>
      <c r="B18" s="26" t="s">
        <v>535</v>
      </c>
      <c r="C18" s="14" t="s">
        <v>536</v>
      </c>
      <c r="D18" s="14" t="s">
        <v>537</v>
      </c>
    </row>
    <row r="19" customFormat="false" ht="75" hidden="false" customHeight="true" outlineLevel="0" collapsed="false">
      <c r="A19" s="11" t="n">
        <v>16</v>
      </c>
      <c r="B19" s="26" t="s">
        <v>538</v>
      </c>
      <c r="C19" s="14" t="s">
        <v>539</v>
      </c>
      <c r="D19" s="14" t="s">
        <v>529</v>
      </c>
    </row>
    <row r="20" customFormat="false" ht="75" hidden="false" customHeight="true" outlineLevel="0" collapsed="false">
      <c r="A20" s="11" t="n">
        <v>17</v>
      </c>
      <c r="B20" s="26" t="s">
        <v>540</v>
      </c>
      <c r="C20" s="14" t="s">
        <v>541</v>
      </c>
      <c r="D20" s="14" t="s">
        <v>542</v>
      </c>
    </row>
    <row r="21" customFormat="false" ht="75" hidden="false" customHeight="true" outlineLevel="0" collapsed="false">
      <c r="A21" s="11" t="n">
        <v>18</v>
      </c>
      <c r="B21" s="26" t="s">
        <v>543</v>
      </c>
      <c r="C21" s="14" t="s">
        <v>544</v>
      </c>
      <c r="D21" s="14" t="s">
        <v>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546</v>
      </c>
    </row>
    <row r="2" customFormat="false" ht="30" hidden="false" customHeight="true" outlineLevel="0" collapsed="false">
      <c r="A2" s="2" t="s">
        <v>547</v>
      </c>
      <c r="B2" s="2"/>
      <c r="C2" s="2"/>
      <c r="D2" s="2"/>
      <c r="E2" s="2"/>
      <c r="F2" s="2"/>
    </row>
    <row r="4" customFormat="false" ht="42" hidden="false" customHeight="true" outlineLevel="0" collapsed="false">
      <c r="A4" s="6" t="s">
        <v>8</v>
      </c>
      <c r="B4" s="6" t="s">
        <v>548</v>
      </c>
      <c r="C4" s="6" t="s">
        <v>549</v>
      </c>
      <c r="D4" s="6" t="s">
        <v>550</v>
      </c>
      <c r="E4" s="6" t="s">
        <v>551</v>
      </c>
      <c r="F4" s="6" t="s">
        <v>552</v>
      </c>
    </row>
    <row r="5" customFormat="false" ht="120" hidden="false" customHeight="true" outlineLevel="0" collapsed="false">
      <c r="A5" s="26" t="s">
        <v>36</v>
      </c>
      <c r="B5" s="14" t="s">
        <v>553</v>
      </c>
      <c r="C5" s="14" t="s">
        <v>554</v>
      </c>
      <c r="D5" s="14" t="s">
        <v>555</v>
      </c>
      <c r="E5" s="14" t="s">
        <v>556</v>
      </c>
      <c r="F5" s="14" t="s">
        <v>557</v>
      </c>
    </row>
    <row r="6" customFormat="false" ht="120" hidden="false" customHeight="true" outlineLevel="0" collapsed="false">
      <c r="A6" s="26" t="s">
        <v>36</v>
      </c>
      <c r="B6" s="14"/>
      <c r="C6" s="14" t="s">
        <v>558</v>
      </c>
      <c r="D6" s="14" t="s">
        <v>559</v>
      </c>
      <c r="E6" s="14" t="s">
        <v>560</v>
      </c>
      <c r="F6" s="14" t="s">
        <v>561</v>
      </c>
    </row>
    <row r="7" customFormat="false" ht="120" hidden="false" customHeight="true" outlineLevel="0" collapsed="false">
      <c r="A7" s="26" t="s">
        <v>36</v>
      </c>
      <c r="B7" s="14"/>
      <c r="C7" s="14" t="s">
        <v>558</v>
      </c>
      <c r="D7" s="14" t="s">
        <v>562</v>
      </c>
      <c r="E7" s="14" t="s">
        <v>563</v>
      </c>
      <c r="F7" s="14" t="s">
        <v>564</v>
      </c>
    </row>
    <row r="8" customFormat="false" ht="120" hidden="false" customHeight="true" outlineLevel="0" collapsed="false">
      <c r="A8" s="26" t="s">
        <v>36</v>
      </c>
      <c r="B8" s="14"/>
      <c r="C8" s="14" t="s">
        <v>558</v>
      </c>
      <c r="D8" s="14" t="s">
        <v>565</v>
      </c>
      <c r="E8" s="14" t="s">
        <v>566</v>
      </c>
      <c r="F8" s="14" t="s">
        <v>567</v>
      </c>
    </row>
    <row r="9" customFormat="false" ht="120" hidden="false" customHeight="true" outlineLevel="0" collapsed="false">
      <c r="A9" s="26" t="s">
        <v>36</v>
      </c>
      <c r="B9" s="14"/>
      <c r="C9" s="14" t="s">
        <v>558</v>
      </c>
      <c r="D9" s="14" t="s">
        <v>568</v>
      </c>
      <c r="E9" s="14" t="s">
        <v>569</v>
      </c>
      <c r="F9" s="14" t="s">
        <v>570</v>
      </c>
    </row>
    <row r="10" customFormat="false" ht="120" hidden="false" customHeight="true" outlineLevel="0" collapsed="false">
      <c r="A10" s="26" t="s">
        <v>43</v>
      </c>
      <c r="B10" s="14" t="s">
        <v>571</v>
      </c>
      <c r="C10" s="14" t="s">
        <v>572</v>
      </c>
      <c r="D10" s="14" t="s">
        <v>573</v>
      </c>
      <c r="E10" s="14" t="s">
        <v>574</v>
      </c>
      <c r="F10" s="14" t="s">
        <v>575</v>
      </c>
    </row>
    <row r="11" customFormat="false" ht="120" hidden="false" customHeight="true" outlineLevel="0" collapsed="false">
      <c r="A11" s="26" t="s">
        <v>43</v>
      </c>
      <c r="B11" s="14"/>
      <c r="C11" s="14" t="s">
        <v>558</v>
      </c>
      <c r="D11" s="14" t="s">
        <v>576</v>
      </c>
      <c r="E11" s="14" t="s">
        <v>577</v>
      </c>
      <c r="F11" s="14" t="s">
        <v>578</v>
      </c>
    </row>
    <row r="12" customFormat="false" ht="120" hidden="false" customHeight="true" outlineLevel="0" collapsed="false">
      <c r="A12" s="26" t="s">
        <v>39</v>
      </c>
      <c r="B12" s="14" t="s">
        <v>579</v>
      </c>
      <c r="C12" s="14" t="s">
        <v>580</v>
      </c>
      <c r="D12" s="14" t="s">
        <v>581</v>
      </c>
      <c r="E12" s="14" t="s">
        <v>582</v>
      </c>
      <c r="F12" s="14" t="s">
        <v>583</v>
      </c>
    </row>
    <row r="13" customFormat="false" ht="120" hidden="false" customHeight="true" outlineLevel="0" collapsed="false">
      <c r="A13" s="26" t="s">
        <v>39</v>
      </c>
      <c r="B13" s="14"/>
      <c r="C13" s="14" t="s">
        <v>558</v>
      </c>
      <c r="D13" s="14" t="s">
        <v>584</v>
      </c>
      <c r="E13" s="14" t="s">
        <v>585</v>
      </c>
      <c r="F13" s="14" t="s">
        <v>586</v>
      </c>
    </row>
    <row r="14" customFormat="false" ht="120" hidden="false" customHeight="true" outlineLevel="0" collapsed="false">
      <c r="A14" s="26" t="s">
        <v>39</v>
      </c>
      <c r="B14" s="14"/>
      <c r="C14" s="14" t="s">
        <v>558</v>
      </c>
      <c r="D14" s="14" t="s">
        <v>587</v>
      </c>
      <c r="E14" s="14" t="s">
        <v>588</v>
      </c>
      <c r="F14" s="14" t="s">
        <v>589</v>
      </c>
    </row>
    <row r="15" customFormat="false" ht="120" hidden="false" customHeight="true" outlineLevel="0" collapsed="false">
      <c r="A15" s="26" t="s">
        <v>39</v>
      </c>
      <c r="B15" s="14"/>
      <c r="C15" s="14" t="s">
        <v>558</v>
      </c>
      <c r="D15" s="14" t="s">
        <v>590</v>
      </c>
      <c r="E15" s="14" t="s">
        <v>591</v>
      </c>
      <c r="F15" s="14" t="s">
        <v>592</v>
      </c>
    </row>
    <row r="16" customFormat="false" ht="120" hidden="false" customHeight="true" outlineLevel="0" collapsed="false">
      <c r="A16" s="26" t="s">
        <v>41</v>
      </c>
      <c r="B16" s="14" t="s">
        <v>593</v>
      </c>
      <c r="C16" s="14" t="s">
        <v>594</v>
      </c>
      <c r="D16" s="14" t="s">
        <v>595</v>
      </c>
      <c r="E16" s="14" t="s">
        <v>596</v>
      </c>
      <c r="F16" s="14" t="s">
        <v>597</v>
      </c>
    </row>
    <row r="17" customFormat="false" ht="120" hidden="false" customHeight="true" outlineLevel="0" collapsed="false">
      <c r="A17" s="26" t="s">
        <v>41</v>
      </c>
      <c r="B17" s="14"/>
      <c r="C17" s="14" t="s">
        <v>558</v>
      </c>
      <c r="D17" s="14" t="s">
        <v>598</v>
      </c>
      <c r="E17" s="14" t="s">
        <v>599</v>
      </c>
      <c r="F17" s="14" t="s">
        <v>600</v>
      </c>
    </row>
    <row r="18" customFormat="false" ht="120" hidden="false" customHeight="true" outlineLevel="0" collapsed="false">
      <c r="A18" s="26" t="s">
        <v>41</v>
      </c>
      <c r="B18" s="14"/>
      <c r="C18" s="14" t="s">
        <v>558</v>
      </c>
      <c r="D18" s="14" t="s">
        <v>601</v>
      </c>
      <c r="E18" s="14" t="s">
        <v>602</v>
      </c>
      <c r="F18" s="14" t="s">
        <v>603</v>
      </c>
    </row>
    <row r="19" customFormat="false" ht="120" hidden="false" customHeight="true" outlineLevel="0" collapsed="false">
      <c r="A19" s="26" t="s">
        <v>41</v>
      </c>
      <c r="B19" s="14"/>
      <c r="C19" s="14" t="s">
        <v>558</v>
      </c>
      <c r="D19" s="14" t="s">
        <v>604</v>
      </c>
      <c r="E19" s="14" t="s">
        <v>605</v>
      </c>
      <c r="F19" s="14" t="s">
        <v>606</v>
      </c>
    </row>
    <row r="20" customFormat="false" ht="120" hidden="false" customHeight="true" outlineLevel="0" collapsed="false">
      <c r="A20" s="26" t="s">
        <v>41</v>
      </c>
      <c r="B20" s="14"/>
      <c r="C20" s="14" t="s">
        <v>558</v>
      </c>
      <c r="D20" s="14" t="s">
        <v>607</v>
      </c>
      <c r="E20" s="14" t="s">
        <v>608</v>
      </c>
      <c r="F20" s="14" t="s">
        <v>609</v>
      </c>
    </row>
    <row r="21" customFormat="false" ht="120" hidden="false" customHeight="true" outlineLevel="0" collapsed="false">
      <c r="A21" s="26" t="s">
        <v>46</v>
      </c>
      <c r="B21" s="14" t="s">
        <v>610</v>
      </c>
      <c r="C21" s="14" t="s">
        <v>611</v>
      </c>
      <c r="D21" s="14" t="s">
        <v>612</v>
      </c>
      <c r="E21" s="14" t="s">
        <v>613</v>
      </c>
      <c r="F21" s="14" t="s">
        <v>614</v>
      </c>
    </row>
    <row r="22" customFormat="false" ht="120" hidden="false" customHeight="true" outlineLevel="0" collapsed="false">
      <c r="A22" s="26" t="s">
        <v>46</v>
      </c>
      <c r="B22" s="14"/>
      <c r="C22" s="14" t="s">
        <v>558</v>
      </c>
      <c r="D22" s="14" t="s">
        <v>615</v>
      </c>
      <c r="E22" s="14" t="s">
        <v>616</v>
      </c>
      <c r="F22" s="14" t="s">
        <v>617</v>
      </c>
    </row>
    <row r="23" customFormat="false" ht="120" hidden="false" customHeight="true" outlineLevel="0" collapsed="false">
      <c r="A23" s="26" t="s">
        <v>46</v>
      </c>
      <c r="B23" s="14"/>
      <c r="C23" s="14" t="s">
        <v>558</v>
      </c>
      <c r="D23" s="14" t="s">
        <v>618</v>
      </c>
      <c r="E23" s="14" t="s">
        <v>619</v>
      </c>
      <c r="F23" s="14" t="s">
        <v>620</v>
      </c>
    </row>
    <row r="24" customFormat="false" ht="120" hidden="false" customHeight="true" outlineLevel="0" collapsed="false">
      <c r="A24" s="26" t="s">
        <v>46</v>
      </c>
      <c r="B24" s="14"/>
      <c r="C24" s="14" t="s">
        <v>558</v>
      </c>
      <c r="D24" s="14" t="s">
        <v>621</v>
      </c>
      <c r="E24" s="14" t="s">
        <v>622</v>
      </c>
      <c r="F24" s="14" t="s">
        <v>623</v>
      </c>
    </row>
    <row r="25" customFormat="false" ht="120" hidden="false" customHeight="true" outlineLevel="0" collapsed="false">
      <c r="A25" s="26" t="s">
        <v>46</v>
      </c>
      <c r="B25" s="14"/>
      <c r="C25" s="14" t="s">
        <v>558</v>
      </c>
      <c r="D25" s="14" t="s">
        <v>624</v>
      </c>
      <c r="E25" s="14" t="s">
        <v>625</v>
      </c>
      <c r="F25" s="14" t="s">
        <v>626</v>
      </c>
    </row>
    <row r="26" customFormat="false" ht="120" hidden="false" customHeight="true" outlineLevel="0" collapsed="false">
      <c r="A26" s="26" t="s">
        <v>627</v>
      </c>
      <c r="B26" s="14" t="s">
        <v>628</v>
      </c>
      <c r="C26" s="14" t="s">
        <v>629</v>
      </c>
      <c r="D26" s="14" t="s">
        <v>630</v>
      </c>
      <c r="E26" s="14" t="s">
        <v>631</v>
      </c>
      <c r="F26" s="14" t="s">
        <v>632</v>
      </c>
    </row>
    <row r="27" customFormat="false" ht="120" hidden="false" customHeight="true" outlineLevel="0" collapsed="false">
      <c r="A27" s="26" t="s">
        <v>627</v>
      </c>
      <c r="B27" s="14" t="s">
        <v>628</v>
      </c>
      <c r="C27" s="14" t="s">
        <v>633</v>
      </c>
      <c r="D27" s="14" t="s">
        <v>634</v>
      </c>
      <c r="E27" s="14" t="s">
        <v>635</v>
      </c>
      <c r="F27" s="14" t="s">
        <v>636</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637</v>
      </c>
    </row>
    <row r="3" customFormat="false" ht="33.75" hidden="false" customHeight="true" outlineLevel="0" collapsed="false">
      <c r="A3" s="2" t="s">
        <v>638</v>
      </c>
      <c r="B3" s="2"/>
      <c r="C3" s="2"/>
      <c r="D3" s="2"/>
      <c r="E3" s="2"/>
      <c r="F3" s="2"/>
      <c r="G3" s="2"/>
      <c r="H3" s="2"/>
      <c r="I3" s="2"/>
      <c r="J3" s="2"/>
    </row>
    <row r="4" customFormat="false" ht="33.75" hidden="false" customHeight="true" outlineLevel="0" collapsed="false">
      <c r="A4" s="2" t="s">
        <v>639</v>
      </c>
      <c r="B4" s="2"/>
      <c r="C4" s="2"/>
      <c r="D4" s="2"/>
      <c r="E4" s="2"/>
      <c r="F4" s="2"/>
      <c r="G4" s="2"/>
      <c r="H4" s="2"/>
      <c r="I4" s="2"/>
      <c r="J4" s="2"/>
    </row>
    <row r="5" customFormat="false" ht="33.75" hidden="false" customHeight="true" outlineLevel="0" collapsed="false">
      <c r="A5" s="2" t="s">
        <v>640</v>
      </c>
      <c r="B5" s="2"/>
      <c r="C5" s="2"/>
      <c r="D5" s="2"/>
      <c r="E5" s="2"/>
      <c r="F5" s="2"/>
      <c r="G5" s="2"/>
      <c r="H5" s="2"/>
      <c r="I5" s="2"/>
      <c r="J5" s="2"/>
    </row>
    <row r="6" customFormat="false" ht="33.75" hidden="false" customHeight="true" outlineLevel="0" collapsed="false">
      <c r="A6" s="2" t="s">
        <v>641</v>
      </c>
      <c r="B6" s="2"/>
      <c r="C6" s="2"/>
      <c r="D6" s="2"/>
      <c r="E6" s="2"/>
      <c r="F6" s="2"/>
      <c r="G6" s="2"/>
      <c r="H6" s="2"/>
      <c r="I6" s="2"/>
      <c r="J6" s="2"/>
    </row>
    <row r="7" customFormat="false" ht="33.75" hidden="false" customHeight="true" outlineLevel="0" collapsed="false">
      <c r="A7" s="2" t="s">
        <v>642</v>
      </c>
      <c r="B7" s="2"/>
      <c r="C7" s="2"/>
      <c r="D7" s="2"/>
      <c r="E7" s="2"/>
      <c r="F7" s="2"/>
      <c r="G7" s="2"/>
      <c r="H7" s="2"/>
      <c r="I7" s="2"/>
      <c r="J7" s="2"/>
    </row>
    <row r="8" customFormat="false" ht="33.75" hidden="false" customHeight="true" outlineLevel="0" collapsed="false">
      <c r="A8" s="2" t="s">
        <v>643</v>
      </c>
      <c r="B8" s="2"/>
      <c r="C8" s="2"/>
      <c r="D8" s="2"/>
      <c r="E8" s="2"/>
      <c r="F8" s="2"/>
      <c r="G8" s="2"/>
      <c r="H8" s="2"/>
      <c r="I8" s="2"/>
      <c r="J8" s="2"/>
    </row>
    <row r="9" customFormat="false" ht="33.75" hidden="false" customHeight="true" outlineLevel="0" collapsed="false">
      <c r="A9" s="2" t="s">
        <v>644</v>
      </c>
      <c r="B9" s="2"/>
      <c r="C9" s="2"/>
      <c r="D9" s="2"/>
      <c r="E9" s="2"/>
      <c r="F9" s="2"/>
      <c r="G9" s="2"/>
      <c r="H9" s="2"/>
      <c r="I9" s="2"/>
      <c r="J9" s="2"/>
    </row>
    <row r="10" customFormat="false" ht="33.75" hidden="false" customHeight="true" outlineLevel="0" collapsed="false">
      <c r="A10" s="2" t="s">
        <v>645</v>
      </c>
      <c r="B10" s="2"/>
      <c r="C10" s="2"/>
      <c r="D10" s="2"/>
      <c r="E10" s="2"/>
      <c r="F10" s="2"/>
      <c r="G10" s="2"/>
      <c r="H10" s="2"/>
      <c r="I10" s="2"/>
      <c r="J10" s="2"/>
    </row>
    <row r="11" customFormat="false" ht="33.75" hidden="false" customHeight="true" outlineLevel="0" collapsed="false">
      <c r="A11" s="2" t="s">
        <v>646</v>
      </c>
      <c r="B11" s="2"/>
      <c r="C11" s="2"/>
      <c r="D11" s="2"/>
      <c r="E11" s="2"/>
      <c r="F11" s="2"/>
      <c r="G11" s="2"/>
      <c r="H11" s="2"/>
      <c r="I11" s="2"/>
      <c r="J11" s="2"/>
    </row>
    <row r="12" customFormat="false" ht="33.75" hidden="false" customHeight="true" outlineLevel="0" collapsed="false">
      <c r="A12" s="2" t="s">
        <v>647</v>
      </c>
      <c r="B12" s="2"/>
      <c r="C12" s="2"/>
      <c r="D12" s="2"/>
      <c r="E12" s="2"/>
      <c r="F12" s="2"/>
      <c r="G12" s="2"/>
      <c r="H12" s="2"/>
      <c r="I12" s="2"/>
      <c r="J12" s="2"/>
    </row>
  </sheetData>
  <mergeCells count="10">
    <mergeCell ref="A3:J3"/>
    <mergeCell ref="A4:J4"/>
    <mergeCell ref="A5:J5"/>
    <mergeCell ref="A6:J6"/>
    <mergeCell ref="A7:J7"/>
    <mergeCell ref="A8:J8"/>
    <mergeCell ref="A9:J9"/>
    <mergeCell ref="A10:J10"/>
    <mergeCell ref="A11:J11"/>
    <mergeCell ref="A12:J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648</v>
      </c>
    </row>
    <row r="2" customFormat="false" ht="45" hidden="false" customHeight="true" outlineLevel="0" collapsed="false">
      <c r="A2" s="2" t="s">
        <v>649</v>
      </c>
      <c r="B2" s="2"/>
      <c r="C2" s="2"/>
      <c r="D2" s="2"/>
      <c r="E2" s="2"/>
      <c r="F2" s="2"/>
      <c r="G2" s="2"/>
      <c r="H2" s="2"/>
      <c r="I2" s="2"/>
      <c r="J2" s="2"/>
      <c r="K2" s="2"/>
      <c r="L2" s="2"/>
      <c r="M2" s="2"/>
      <c r="N2" s="2"/>
    </row>
    <row r="4" customFormat="false" ht="42" hidden="false" customHeight="true" outlineLevel="0" collapsed="false">
      <c r="A4" s="6" t="s">
        <v>69</v>
      </c>
      <c r="B4" s="6" t="s">
        <v>650</v>
      </c>
      <c r="C4" s="6" t="s">
        <v>23</v>
      </c>
      <c r="D4" s="6" t="s">
        <v>651</v>
      </c>
      <c r="E4" s="6" t="s">
        <v>24</v>
      </c>
      <c r="F4" s="6" t="s">
        <v>652</v>
      </c>
      <c r="G4" s="6" t="s">
        <v>653</v>
      </c>
      <c r="H4" s="6" t="s">
        <v>654</v>
      </c>
      <c r="I4" s="6" t="s">
        <v>655</v>
      </c>
      <c r="J4" s="6" t="s">
        <v>656</v>
      </c>
      <c r="K4" s="6" t="s">
        <v>657</v>
      </c>
      <c r="L4" s="6" t="s">
        <v>658</v>
      </c>
      <c r="M4" s="6" t="s">
        <v>659</v>
      </c>
      <c r="N4" s="6" t="s">
        <v>660</v>
      </c>
      <c r="O4" s="6" t="s">
        <v>661</v>
      </c>
    </row>
    <row r="5" customFormat="false" ht="150" hidden="false" customHeight="true" outlineLevel="0" collapsed="false">
      <c r="A5" s="14" t="s">
        <v>37</v>
      </c>
      <c r="B5" s="14" t="s">
        <v>662</v>
      </c>
      <c r="C5" s="27" t="n">
        <v>1</v>
      </c>
      <c r="D5" s="14" t="s">
        <v>663</v>
      </c>
      <c r="E5" s="27" t="n">
        <v>3</v>
      </c>
      <c r="F5" s="14" t="s">
        <v>664</v>
      </c>
      <c r="G5" s="14" t="s">
        <v>665</v>
      </c>
      <c r="H5" s="14" t="s">
        <v>666</v>
      </c>
      <c r="I5" s="28" t="n">
        <v>46447</v>
      </c>
      <c r="J5" s="14" t="s">
        <v>667</v>
      </c>
      <c r="K5" s="14" t="s">
        <v>668</v>
      </c>
      <c r="L5" s="14" t="s">
        <v>669</v>
      </c>
      <c r="M5" s="27" t="s">
        <v>670</v>
      </c>
      <c r="N5" s="14" t="s">
        <v>671</v>
      </c>
      <c r="O5" s="14" t="s">
        <v>672</v>
      </c>
    </row>
    <row r="6" customFormat="false" ht="150" hidden="false" customHeight="true" outlineLevel="0" collapsed="false">
      <c r="A6" s="14" t="s">
        <v>44</v>
      </c>
      <c r="B6" s="14" t="s">
        <v>673</v>
      </c>
      <c r="C6" s="27" t="n">
        <v>1</v>
      </c>
      <c r="D6" s="14" t="s">
        <v>674</v>
      </c>
      <c r="E6" s="27" t="n">
        <v>3</v>
      </c>
      <c r="F6" s="14" t="s">
        <v>675</v>
      </c>
      <c r="G6" s="14" t="s">
        <v>676</v>
      </c>
      <c r="H6" s="14" t="s">
        <v>677</v>
      </c>
      <c r="I6" s="28" t="n">
        <v>46568</v>
      </c>
      <c r="J6" s="14" t="s">
        <v>678</v>
      </c>
      <c r="K6" s="14" t="s">
        <v>679</v>
      </c>
      <c r="L6" s="14" t="s">
        <v>680</v>
      </c>
      <c r="M6" s="27" t="s">
        <v>681</v>
      </c>
      <c r="N6" s="14" t="s">
        <v>682</v>
      </c>
      <c r="O6" s="14" t="s">
        <v>683</v>
      </c>
    </row>
    <row r="7" customFormat="false" ht="150" hidden="false" customHeight="true" outlineLevel="0" collapsed="false">
      <c r="A7" s="14" t="s">
        <v>47</v>
      </c>
      <c r="B7" s="14" t="s">
        <v>684</v>
      </c>
      <c r="C7" s="27" t="n">
        <v>2</v>
      </c>
      <c r="D7" s="14" t="s">
        <v>685</v>
      </c>
      <c r="E7" s="27" t="n">
        <v>3</v>
      </c>
      <c r="F7" s="14" t="s">
        <v>686</v>
      </c>
      <c r="G7" s="14" t="s">
        <v>687</v>
      </c>
      <c r="H7" s="14" t="s">
        <v>688</v>
      </c>
      <c r="I7" s="28" t="n">
        <v>46387</v>
      </c>
      <c r="J7" s="14" t="s">
        <v>689</v>
      </c>
      <c r="K7" s="14" t="s">
        <v>690</v>
      </c>
      <c r="L7" s="14" t="s">
        <v>691</v>
      </c>
      <c r="M7" s="27" t="s">
        <v>681</v>
      </c>
      <c r="N7" s="14" t="s">
        <v>692</v>
      </c>
      <c r="O7" s="14" t="s">
        <v>693</v>
      </c>
    </row>
    <row r="8" customFormat="false" ht="150" hidden="false" customHeight="true" outlineLevel="0" collapsed="false">
      <c r="A8" s="14" t="s">
        <v>50</v>
      </c>
      <c r="B8" s="14" t="s">
        <v>694</v>
      </c>
      <c r="C8" s="27" t="n">
        <v>1</v>
      </c>
      <c r="D8" s="14" t="s">
        <v>695</v>
      </c>
      <c r="E8" s="27" t="n">
        <v>5</v>
      </c>
      <c r="F8" s="14" t="s">
        <v>696</v>
      </c>
      <c r="G8" s="14" t="s">
        <v>697</v>
      </c>
      <c r="H8" s="14" t="s">
        <v>698</v>
      </c>
      <c r="I8" s="28" t="n">
        <v>46387</v>
      </c>
      <c r="J8" s="14" t="s">
        <v>699</v>
      </c>
      <c r="K8" s="14" t="s">
        <v>700</v>
      </c>
      <c r="L8" s="14" t="s">
        <v>701</v>
      </c>
      <c r="M8" s="27" t="s">
        <v>670</v>
      </c>
      <c r="N8" s="14" t="s">
        <v>702</v>
      </c>
      <c r="O8" s="14" t="s">
        <v>703</v>
      </c>
    </row>
    <row r="9" customFormat="false" ht="150" hidden="false" customHeight="true" outlineLevel="0" collapsed="false">
      <c r="A9" s="14" t="s">
        <v>53</v>
      </c>
      <c r="B9" s="14" t="s">
        <v>704</v>
      </c>
      <c r="C9" s="27" t="n">
        <v>1</v>
      </c>
      <c r="D9" s="14" t="s">
        <v>705</v>
      </c>
      <c r="E9" s="27" t="n">
        <v>3</v>
      </c>
      <c r="F9" s="14" t="s">
        <v>706</v>
      </c>
      <c r="G9" s="14" t="s">
        <v>707</v>
      </c>
      <c r="H9" s="14" t="s">
        <v>708</v>
      </c>
      <c r="I9" s="28" t="n">
        <v>46568</v>
      </c>
      <c r="J9" s="14" t="s">
        <v>709</v>
      </c>
      <c r="K9" s="14" t="s">
        <v>679</v>
      </c>
      <c r="L9" s="14" t="s">
        <v>710</v>
      </c>
      <c r="M9" s="27" t="s">
        <v>681</v>
      </c>
      <c r="N9" s="14" t="s">
        <v>711</v>
      </c>
      <c r="O9" s="14" t="s">
        <v>712</v>
      </c>
    </row>
    <row r="10" customFormat="false" ht="150" hidden="false" customHeight="true" outlineLevel="0" collapsed="false">
      <c r="A10" s="14" t="s">
        <v>713</v>
      </c>
      <c r="B10" s="14" t="s">
        <v>714</v>
      </c>
      <c r="C10" s="27" t="n">
        <v>3</v>
      </c>
      <c r="D10" s="14" t="s">
        <v>715</v>
      </c>
      <c r="E10" s="27" t="n">
        <v>5</v>
      </c>
      <c r="F10" s="14" t="s">
        <v>716</v>
      </c>
      <c r="G10" s="14" t="s">
        <v>717</v>
      </c>
      <c r="H10" s="14" t="s">
        <v>708</v>
      </c>
      <c r="I10" s="28" t="n">
        <v>46568</v>
      </c>
      <c r="J10" s="14" t="s">
        <v>718</v>
      </c>
      <c r="K10" s="14" t="s">
        <v>679</v>
      </c>
      <c r="L10" s="14" t="s">
        <v>719</v>
      </c>
      <c r="M10" s="27" t="s">
        <v>670</v>
      </c>
      <c r="N10" s="14" t="s">
        <v>720</v>
      </c>
      <c r="O10" s="14" t="s">
        <v>721</v>
      </c>
    </row>
    <row r="11" customFormat="false" ht="150" hidden="false" customHeight="true" outlineLevel="0" collapsed="false">
      <c r="A11" s="14" t="s">
        <v>55</v>
      </c>
      <c r="B11" s="14" t="s">
        <v>722</v>
      </c>
      <c r="C11" s="27"/>
      <c r="D11" s="14" t="s">
        <v>723</v>
      </c>
      <c r="E11" s="27"/>
      <c r="F11" s="14" t="s">
        <v>724</v>
      </c>
      <c r="G11" s="14"/>
      <c r="H11" s="14"/>
      <c r="I11" s="27"/>
      <c r="J11" s="14"/>
      <c r="K11" s="14"/>
      <c r="L11" s="14" t="s">
        <v>724</v>
      </c>
      <c r="M11" s="27"/>
      <c r="N11" s="14" t="s">
        <v>724</v>
      </c>
      <c r="O11" s="14"/>
    </row>
    <row r="13" customFormat="false" ht="45" hidden="false" customHeight="true" outlineLevel="0" collapsed="false">
      <c r="A13" s="2" t="s">
        <v>725</v>
      </c>
      <c r="B13" s="2"/>
      <c r="C13" s="2"/>
      <c r="D13" s="2"/>
      <c r="E13" s="2"/>
      <c r="F13" s="2"/>
      <c r="G13" s="2"/>
      <c r="H13" s="2"/>
      <c r="I13" s="2"/>
      <c r="J13" s="2"/>
      <c r="K13" s="2"/>
      <c r="L13" s="2"/>
      <c r="M13" s="2"/>
      <c r="N13" s="2"/>
      <c r="O13" s="2"/>
    </row>
    <row r="14" customFormat="false" ht="39.75" hidden="false" customHeight="true" outlineLevel="0" collapsed="false">
      <c r="A14" s="2" t="s">
        <v>726</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2026-10-06T15:56:47Z</dcterms:created>
  <dc:creator>openpyxl</dc:creator>
  <dc:description/>
  <dc:language>en-US</dc:language>
  <cp:lastModifiedBy/>
  <dcterms:modified xsi:type="dcterms:W3CDTF">2026-10-06T15:56:47Z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