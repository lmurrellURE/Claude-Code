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Detail" sheetId="2" state="visible" r:id="rId4"/>
    <sheet name="Current Month" sheetId="3" state="visible" r:id="rId5"/>
    <sheet name="Gaps &amp; Next Steps" sheetId="4" state="visible" r:id="rId6"/>
    <sheet name="Method" sheetId="5" state="visible" r:id="rId7"/>
    <sheet name="State Rules" sheetId="6" state="visible" r:id="rId8"/>
  </sheets>
  <definedNames>
    <definedName function="false" hidden="true" localSheetId="1" name="_xlnm._FilterDatabase" vbProcedure="false">Detail!$A$6:$Y$187</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B3" authorId="0">
      <text>
        <r>
          <rPr>
            <sz val="10"/>
            <rFont val="Arial"/>
            <family val="2"/>
          </rPr>
          <t xml:space="preserve">Input. Change to re-age every item. 10/6/2026 = date the workbook was provided (Summary!A19 of the source file is =TODAY()).</t>
        </r>
      </text>
    </comment>
  </commentList>
</comments>
</file>

<file path=xl/sharedStrings.xml><?xml version="1.0" encoding="utf-8"?>
<sst xmlns="http://schemas.openxmlformats.org/spreadsheetml/2006/main" count="1494" uniqueCount="600">
  <si>
    <t xml:space="preserve">Accrued Commissions - Unclaimed Property Exposure by Entity</t>
  </si>
  <si>
    <t xml:space="preserve">Source: United_Cash_Requirements.xlsx, each entity tab, 'Previous Month's Accrued Commissions' block (deposited checks not yet booked in Sage) plus the current-month 'Deposited checks' block. Extracted 10/6/2026; every entity total ties to the tab's 'outstanding amount' cell.</t>
  </si>
  <si>
    <t xml:space="preserve">As-of date</t>
  </si>
  <si>
    <t xml:space="preserve">Legend: blue = input, black = formula, green = link to another sheet, yellow fill = cells for you to confirm or fill in.</t>
  </si>
  <si>
    <t xml:space="preserve">Entity</t>
  </si>
  <si>
    <t xml:space="preserve">State (confirm)</t>
  </si>
  <si>
    <t xml:space="preserve">Prior-month accrued (unbooked deposits)</t>
  </si>
  <si>
    <t xml:space="preserve">Current-month accrued (Sept/Oct 2026 deposits)</t>
  </si>
  <si>
    <t xml:space="preserve">Total accrued per workbook</t>
  </si>
  <si>
    <t xml:space="preserve">Items (count)</t>
  </si>
  <si>
    <t xml:space="preserve">0-1 yrs</t>
  </si>
  <si>
    <t xml:space="preserve">1-2 yrs</t>
  </si>
  <si>
    <t xml:space="preserve">2-3 yrs</t>
  </si>
  <si>
    <t xml:space="preserve">3-5 yrs</t>
  </si>
  <si>
    <t xml:space="preserve">5+ yrs</t>
  </si>
  <si>
    <t xml:space="preserve">Short period (yrs)</t>
  </si>
  <si>
    <t xml:space="preserve">Long period (yrs)</t>
  </si>
  <si>
    <t xml:space="preserve">Dormant today - SHORT period test</t>
  </si>
  <si>
    <t xml:space="preserve">Dormant today - LONG period test</t>
  </si>
  <si>
    <t xml:space="preserve">Dormant at next report cutoff - SHORT</t>
  </si>
  <si>
    <t xml:space="preserve">Dormant at next report cutoff - LONG</t>
  </si>
  <si>
    <t xml:space="preserve">Oldest item</t>
  </si>
  <si>
    <t xml:space="preserve">Items with memo flag (not ours / unknown / hold)</t>
  </si>
  <si>
    <t xml:space="preserve">$ with memo flag</t>
  </si>
  <si>
    <t xml:space="preserve">Items at recurring flat amounts (possible brokerage fee)</t>
  </si>
  <si>
    <t xml:space="preserve">$ at recurring flat amounts</t>
  </si>
  <si>
    <t xml:space="preserve">Entity-state note</t>
  </si>
  <si>
    <t xml:space="preserve">Dallas</t>
  </si>
  <si>
    <t xml:space="preserve">TX</t>
  </si>
  <si>
    <t xml:space="preserve">Per user: Texas office.</t>
  </si>
  <si>
    <t xml:space="preserve">Houston</t>
  </si>
  <si>
    <t xml:space="preserve">TUR</t>
  </si>
  <si>
    <t xml:space="preserve">Texas United Realty - per user: Texas office.</t>
  </si>
  <si>
    <t xml:space="preserve">Chicago</t>
  </si>
  <si>
    <t xml:space="preserve">IL</t>
  </si>
  <si>
    <t xml:space="preserve">Per user: Illinois office.</t>
  </si>
  <si>
    <t xml:space="preserve">Philly</t>
  </si>
  <si>
    <t xml:space="preserve">PA</t>
  </si>
  <si>
    <t xml:space="preserve">Per user: Philadelphia office.</t>
  </si>
  <si>
    <t xml:space="preserve">Gallery</t>
  </si>
  <si>
    <t xml:space="preserve">FL</t>
  </si>
  <si>
    <t xml:space="preserve">ASSUMPTION - user listed Florida and Alabama offices without naming tabs; Gallery banks at SouthState (a Florida-based bank). CONFIRM.</t>
  </si>
  <si>
    <t xml:space="preserve">Leading Edge</t>
  </si>
  <si>
    <t xml:space="preserve">AL</t>
  </si>
  <si>
    <t xml:space="preserve">ASSUMPTION - user listed Florida and Alabama offices without naming tabs; Leading Edge banks at Regions/Cadence (Alabama-based banks). CONFIRM.</t>
  </si>
  <si>
    <t xml:space="preserve">DC</t>
  </si>
  <si>
    <t xml:space="preserve">Tab exists in workbook with $0 accrued balance; user did not list DC. No DC rules researched.</t>
  </si>
  <si>
    <t xml:space="preserve">TOTAL</t>
  </si>
  <si>
    <t xml:space="preserve">How to read this</t>
  </si>
  <si>
    <t xml:space="preserve">'Dormant today - SHORT period test' = unbooked deposits older than the state's wages/compensation period as of the as-of date. This is the UPPER BOUND of what could already be reportable, and only if 100% of each check is owed to someone else (an agent or the payer). It is NOT the amount to remit.</t>
  </si>
  <si>
    <t xml:space="preserve">'Dormant today - LONG period test' = older than the state's general catch-all period. For Texas (the three largest balances) this is the more likely test for independent-contractor commissions, because Texas ties 'wages' to the Labor Code definition that excludes independent contractors.</t>
  </si>
  <si>
    <t xml:space="preserve">The amount actually reportable = (agent share + any amount belonging to the payer) of each dormant item. The brokerage's own fee / E&amp;O / company-dollar share of a check is the company's revenue and is never unclaimed property. The source workbook has 'E&amp;O', 'FEE' and 'Commission' columns for this split, but they are EMPTY for every item, so the split is unknown today. See the Detail tab's yellow columns.</t>
  </si>
  <si>
    <t xml:space="preserve">Current-month accrued (column D) is all September/October 2026 deposits in normal matching workflow. It is included so the total ties to the cash-requirements Summary, but none of it is near any dormancy period.</t>
  </si>
  <si>
    <t xml:space="preserve">Nothing here is legal advice. Dormancy periods, report dates and due-diligence rules on the State Rules tab were sourced from statute summaries and state guidance found by web search; the statute pages themselves could not be opened from this session. Have counsel or your unclaimed-property advisor confirm before filing.</t>
  </si>
  <si>
    <t xml:space="preserve">Unbooked deposited checks - item detail (prior-month accrued commissions block of each entity tab)</t>
  </si>
  <si>
    <t xml:space="preserve">Columns A-J are copied from the source workbook. K-R are formulas. S-X (yellow) are for you to fill in from Paperless Pipeline / Sage: once the agent share is entered, column Y shows the dollar amount that is both dormant (long test) and owed to someone else.</t>
  </si>
  <si>
    <t xml:space="preserve">Classification heuristics (col M) are only hints: 'Recurring flat amount' = $644 / $595 / $495 / $49 (amounts that repeat across unrelated payers and look like a flat transaction or E&amp;O fee the company keeps - CONFIRM). 'Memo flag' = memo says not ours / unknown agent / duplicate / legal hold. Everything else = needs transaction match.</t>
  </si>
  <si>
    <t xml:space="preserve">As-of date (linked)</t>
  </si>
  <si>
    <t xml:space="preserve">State</t>
  </si>
  <si>
    <t xml:space="preserve">Bank / block</t>
  </si>
  <si>
    <t xml:space="preserve">Source row</t>
  </si>
  <si>
    <t xml:space="preserve">Deposit date</t>
  </si>
  <si>
    <t xml:space="preserve">Check #</t>
  </si>
  <si>
    <t xml:space="preserve">Payer / check writer</t>
  </si>
  <si>
    <t xml:space="preserve">Amount</t>
  </si>
  <si>
    <t xml:space="preserve">Memo (source)</t>
  </si>
  <si>
    <t xml:space="preserve">Booked in Sage?</t>
  </si>
  <si>
    <t xml:space="preserve">Age (yrs)</t>
  </si>
  <si>
    <t xml:space="preserve">Age bucket</t>
  </si>
  <si>
    <t xml:space="preserve">Classification hint</t>
  </si>
  <si>
    <t xml:space="preserve">Dormant date - SHORT</t>
  </si>
  <si>
    <t xml:space="preserve">Dormant date - LONG</t>
  </si>
  <si>
    <t xml:space="preserve">Dormant at next cutoff - SHORT?</t>
  </si>
  <si>
    <t xml:space="preserve">Dormant at next cutoff - LONG?</t>
  </si>
  <si>
    <t xml:space="preserve">Agent / owner name (fill in)</t>
  </si>
  <si>
    <t xml:space="preserve">Owner last-known state (fill in)</t>
  </si>
  <si>
    <t xml:space="preserve">Brokerage fee / E&amp;O share $ (fill in)</t>
  </si>
  <si>
    <t xml:space="preserve">Agent share $ (fill in)</t>
  </si>
  <si>
    <t xml:space="preserve">Refund to payer $ (fill in)</t>
  </si>
  <si>
    <t xml:space="preserve">Resolution / status (fill in)</t>
  </si>
  <si>
    <t xml:space="preserve">Reportable if dormant (LONG test) = agent + refund share</t>
  </si>
  <si>
    <t xml:space="preserve">1839</t>
  </si>
  <si>
    <t xml:space="preserve">Jogip Management</t>
  </si>
  <si>
    <t xml:space="preserve">Vera Garza2538 Emmett St-agent hasn’t uploaded docs, emailed again</t>
  </si>
  <si>
    <t xml:space="preserve">No</t>
  </si>
  <si>
    <t xml:space="preserve">Needs transaction match</t>
  </si>
  <si>
    <t xml:space="preserve">167928</t>
  </si>
  <si>
    <t xml:space="preserve">Freedom Title</t>
  </si>
  <si>
    <t xml:space="preserve">File 23067608FM-CC</t>
  </si>
  <si>
    <t xml:space="preserve">593095968</t>
  </si>
  <si>
    <t xml:space="preserve">Chicago Title of Texas</t>
  </si>
  <si>
    <t xml:space="preserve">15215</t>
  </si>
  <si>
    <t xml:space="preserve">JARA INVESTMENTS INC</t>
  </si>
  <si>
    <t xml:space="preserve">9478743248</t>
  </si>
  <si>
    <t xml:space="preserve">Jaden International</t>
  </si>
  <si>
    <t xml:space="preserve">6050 N Central Exp 314-not for this address unsure of address</t>
  </si>
  <si>
    <t xml:space="preserve">Memo flag - not ours / unknown / hold: confirm</t>
  </si>
  <si>
    <t xml:space="preserve">310781</t>
  </si>
  <si>
    <t xml:space="preserve">Colliers International</t>
  </si>
  <si>
    <t xml:space="preserve">5384</t>
  </si>
  <si>
    <t xml:space="preserve">Roxana Handal</t>
  </si>
  <si>
    <t xml:space="preserve">554402</t>
  </si>
  <si>
    <t xml:space="preserve">Soleste West Gables c/o Waterton Residential</t>
  </si>
  <si>
    <t xml:space="preserve">158770</t>
  </si>
  <si>
    <t xml:space="preserve">McKnight Title</t>
  </si>
  <si>
    <t xml:space="preserve">7201577987</t>
  </si>
  <si>
    <t xml:space="preserve">Hampton on Jupiter</t>
  </si>
  <si>
    <t xml:space="preserve">Summit Property Management</t>
  </si>
  <si>
    <t xml:space="preserve">3536</t>
  </si>
  <si>
    <t xml:space="preserve">Guildford LLC</t>
  </si>
  <si>
    <t xml:space="preserve">709 Golden Bear- Junko Cummings- ck 3604 processed with this transaction(duplicate?)</t>
  </si>
  <si>
    <t xml:space="preserve">7725</t>
  </si>
  <si>
    <t xml:space="preserve">Go Spring Branch</t>
  </si>
  <si>
    <t xml:space="preserve">1311 12th St- Lease</t>
  </si>
  <si>
    <t xml:space="preserve">22833</t>
  </si>
  <si>
    <t xml:space="preserve">5740 Cutler Ln- waiting to hear back from title about missing portion</t>
  </si>
  <si>
    <t xml:space="preserve">3399</t>
  </si>
  <si>
    <t xml:space="preserve">Texas Title Escrow Account</t>
  </si>
  <si>
    <t xml:space="preserve">3409</t>
  </si>
  <si>
    <t xml:space="preserve">36710</t>
  </si>
  <si>
    <t xml:space="preserve">TC Lincoln Centre- Cushman &amp; Wakefield</t>
  </si>
  <si>
    <t xml:space="preserve">30197</t>
  </si>
  <si>
    <t xml:space="preserve">Diversified National Title</t>
  </si>
  <si>
    <t xml:space="preserve">Recurring flat amount - possible brokerage fee: confirm</t>
  </si>
  <si>
    <t xml:space="preserve">103232</t>
  </si>
  <si>
    <t xml:space="preserve">CK 3000000008</t>
  </si>
  <si>
    <t xml:space="preserve">2304 Magnolia-Not in PP, not sure who agent is</t>
  </si>
  <si>
    <t xml:space="preserve">CK 14122</t>
  </si>
  <si>
    <t xml:space="preserve">5322 Columbia Ave (their transaction #059210-A)-Not in PP</t>
  </si>
  <si>
    <t xml:space="preserve">CK 2704</t>
  </si>
  <si>
    <t xml:space="preserve">18333 Roehampton- supposed to be for 450</t>
  </si>
  <si>
    <t xml:space="preserve">CK 5603</t>
  </si>
  <si>
    <t xml:space="preserve">The Ashton-not sure of property address or agent </t>
  </si>
  <si>
    <t xml:space="preserve">7005146010</t>
  </si>
  <si>
    <t xml:space="preserve">37572</t>
  </si>
  <si>
    <t xml:space="preserve">1423 Main St.</t>
  </si>
  <si>
    <t xml:space="preserve">502001684</t>
  </si>
  <si>
    <t xml:space="preserve">3430 Calhoun Ave</t>
  </si>
  <si>
    <t xml:space="preserve">2209</t>
  </si>
  <si>
    <t xml:space="preserve">Whitney Williams written by Danny Elms</t>
  </si>
  <si>
    <t xml:space="preserve">41343</t>
  </si>
  <si>
    <t xml:space="preserve">7618 Harbor Dr</t>
  </si>
  <si>
    <t xml:space="preserve">1233</t>
  </si>
  <si>
    <t xml:space="preserve">3356</t>
  </si>
  <si>
    <t xml:space="preserve">208 Glenwic Place, agent: Deba Cadet</t>
  </si>
  <si>
    <t xml:space="preserve">353531</t>
  </si>
  <si>
    <t xml:space="preserve">515</t>
  </si>
  <si>
    <t xml:space="preserve">Referral Fees R. Shaw #208</t>
  </si>
  <si>
    <t xml:space="preserve">27966</t>
  </si>
  <si>
    <t xml:space="preserve">Coastal Realty Information</t>
  </si>
  <si>
    <t xml:space="preserve">573013801</t>
  </si>
  <si>
    <t xml:space="preserve">Commissions</t>
  </si>
  <si>
    <t xml:space="preserve">3601909</t>
  </si>
  <si>
    <t xml:space="preserve">104315</t>
  </si>
  <si>
    <t xml:space="preserve">Phillips Edison Grocery Center</t>
  </si>
  <si>
    <t xml:space="preserve">Cashier's Check - No memo</t>
  </si>
  <si>
    <t xml:space="preserve">1638</t>
  </si>
  <si>
    <t xml:space="preserve">LROC, LLC</t>
  </si>
  <si>
    <t xml:space="preserve">7226642918</t>
  </si>
  <si>
    <t xml:space="preserve">Bellrock Upper North(?)</t>
  </si>
  <si>
    <t xml:space="preserve">[review check stub]</t>
  </si>
  <si>
    <t xml:space="preserve">1480</t>
  </si>
  <si>
    <t xml:space="preserve">NEIMAX LLC</t>
  </si>
  <si>
    <t xml:space="preserve">Rental Commission</t>
  </si>
  <si>
    <t xml:space="preserve">928546934</t>
  </si>
  <si>
    <t xml:space="preserve">630 Woodacre</t>
  </si>
  <si>
    <t xml:space="preserve">103690</t>
  </si>
  <si>
    <t xml:space="preserve">MH Title</t>
  </si>
  <si>
    <t xml:space="preserve">510 Simmons Dr</t>
  </si>
  <si>
    <t xml:space="preserve">82931</t>
  </si>
  <si>
    <t xml:space="preserve">Steward Title</t>
  </si>
  <si>
    <t xml:space="preserve">UR25025(?)</t>
  </si>
  <si>
    <t xml:space="preserve">392627</t>
  </si>
  <si>
    <t xml:space="preserve">Long Realty</t>
  </si>
  <si>
    <t xml:space="preserve">37753 S. Golf Course Dr.(?)</t>
  </si>
  <si>
    <t xml:space="preserve">2500</t>
  </si>
  <si>
    <t xml:space="preserve">S2 Hyde Park</t>
  </si>
  <si>
    <t xml:space="preserve">2285</t>
  </si>
  <si>
    <t xml:space="preserve">Rendon Realty</t>
  </si>
  <si>
    <t xml:space="preserve">3205 Harvard St</t>
  </si>
  <si>
    <t xml:space="preserve">2257</t>
  </si>
  <si>
    <t xml:space="preserve">Daniel Elms</t>
  </si>
  <si>
    <t xml:space="preserve">5110 Lyndsley</t>
  </si>
  <si>
    <t xml:space="preserve">1675</t>
  </si>
  <si>
    <t xml:space="preserve">Tracy Realty</t>
  </si>
  <si>
    <t xml:space="preserve">410 E. Brackett</t>
  </si>
  <si>
    <t xml:space="preserve">178460</t>
  </si>
  <si>
    <t xml:space="preserve">eXp Realty</t>
  </si>
  <si>
    <t xml:space="preserve">1012 Bessie Dr,</t>
  </si>
  <si>
    <t xml:space="preserve">1235</t>
  </si>
  <si>
    <t xml:space="preserve">Mazahra Pasha Mohammad</t>
  </si>
  <si>
    <t xml:space="preserve">6401 Everest Dr</t>
  </si>
  <si>
    <t xml:space="preserve">4790</t>
  </si>
  <si>
    <t xml:space="preserve">2402 Navigation(?) Blvd. 316 &amp; 843</t>
  </si>
  <si>
    <t xml:space="preserve">1515</t>
  </si>
  <si>
    <t xml:space="preserve">Blue Bpmmet Properties</t>
  </si>
  <si>
    <t xml:space="preserve">Gaylord Drive 8931 #157</t>
  </si>
  <si>
    <t xml:space="preserve">17830</t>
  </si>
  <si>
    <t xml:space="preserve">26398</t>
  </si>
  <si>
    <t xml:space="preserve">4357</t>
  </si>
  <si>
    <t xml:space="preserve">Aaron Shorey</t>
  </si>
  <si>
    <t xml:space="preserve">185 Country Rd 709</t>
  </si>
  <si>
    <t xml:space="preserve">14812016</t>
  </si>
  <si>
    <t xml:space="preserve">Stewart Title Company</t>
  </si>
  <si>
    <t xml:space="preserve">File:22339037767</t>
  </si>
  <si>
    <t xml:space="preserve">2127</t>
  </si>
  <si>
    <t xml:space="preserve">WY-TX CO LLC</t>
  </si>
  <si>
    <t xml:space="preserve">3525 Sage #1009</t>
  </si>
  <si>
    <t xml:space="preserve">2128</t>
  </si>
  <si>
    <t xml:space="preserve">103164</t>
  </si>
  <si>
    <t xml:space="preserve">Exp Realty</t>
  </si>
  <si>
    <t xml:space="preserve">6223 Millbridge-on hold due to agent commiting fraud- n not disburse per law enforcement and TREC</t>
  </si>
  <si>
    <t xml:space="preserve">593013245</t>
  </si>
  <si>
    <t xml:space="preserve">Fidelity National Title</t>
  </si>
  <si>
    <t xml:space="preserve">330721</t>
  </si>
  <si>
    <t xml:space="preserve">cant locate</t>
  </si>
  <si>
    <t xml:space="preserve">3007</t>
  </si>
  <si>
    <t xml:space="preserve">Secured Title of Texas</t>
  </si>
  <si>
    <t xml:space="preserve">SWSTG4645</t>
  </si>
  <si>
    <t xml:space="preserve">323248</t>
  </si>
  <si>
    <t xml:space="preserve">Southland Title</t>
  </si>
  <si>
    <t xml:space="preserve">323050</t>
  </si>
  <si>
    <t xml:space="preserve">323054</t>
  </si>
  <si>
    <t xml:space="preserve">42740</t>
  </si>
  <si>
    <t xml:space="preserve">Capital Title of Texas</t>
  </si>
  <si>
    <t xml:space="preserve">591110199</t>
  </si>
  <si>
    <t xml:space="preserve">Fidelity National Title Agency</t>
  </si>
  <si>
    <t xml:space="preserve">7213229449</t>
  </si>
  <si>
    <t xml:space="preserve">Dallas Transaction 4110 Fairmount 2171</t>
  </si>
  <si>
    <t xml:space="preserve">275615</t>
  </si>
  <si>
    <t xml:space="preserve">Move Sales, Inc</t>
  </si>
  <si>
    <t xml:space="preserve">3045688</t>
  </si>
  <si>
    <t xml:space="preserve">Old Republic Title</t>
  </si>
  <si>
    <t xml:space="preserve">14111</t>
  </si>
  <si>
    <t xml:space="preserve">HomeRiver Group - Houston</t>
  </si>
  <si>
    <t xml:space="preserve">31310</t>
  </si>
  <si>
    <t xml:space="preserve">Keller Williams Realty Professionals</t>
  </si>
  <si>
    <t xml:space="preserve">5803 Southmund St #B</t>
  </si>
  <si>
    <t xml:space="preserve">1179006686</t>
  </si>
  <si>
    <t xml:space="preserve">674</t>
  </si>
  <si>
    <t xml:space="preserve">Fresh Start Home Services</t>
  </si>
  <si>
    <t xml:space="preserve">310 Magnolia </t>
  </si>
  <si>
    <t xml:space="preserve">103931</t>
  </si>
  <si>
    <t xml:space="preserve">InFocus Title LLC</t>
  </si>
  <si>
    <t xml:space="preserve">7042</t>
  </si>
  <si>
    <t xml:space="preserve">2507 Montrose 22</t>
  </si>
  <si>
    <t xml:space="preserve">533019415</t>
  </si>
  <si>
    <t xml:space="preserve">2332 Shadow Falls Ln</t>
  </si>
  <si>
    <t xml:space="preserve">1527</t>
  </si>
  <si>
    <t xml:space="preserve">104004</t>
  </si>
  <si>
    <t xml:space="preserve">1334</t>
  </si>
  <si>
    <t xml:space="preserve">101147</t>
  </si>
  <si>
    <t xml:space="preserve">916573566</t>
  </si>
  <si>
    <t xml:space="preserve">5th Stream Realty LLC</t>
  </si>
  <si>
    <t xml:space="preserve">8504541397</t>
  </si>
  <si>
    <t xml:space="preserve">AvidXchange, Inc</t>
  </si>
  <si>
    <t xml:space="preserve">593035158</t>
  </si>
  <si>
    <t xml:space="preserve">103360</t>
  </si>
  <si>
    <t xml:space="preserve">6919 Calhoun Road</t>
  </si>
  <si>
    <t xml:space="preserve">211594</t>
  </si>
  <si>
    <t xml:space="preserve">LPT Realty</t>
  </si>
  <si>
    <t xml:space="preserve">329485 - 19410 Bold River Road</t>
  </si>
  <si>
    <t xml:space="preserve">514</t>
  </si>
  <si>
    <t xml:space="preserve">Evergreen Residential Holdings, LLC</t>
  </si>
  <si>
    <t xml:space="preserve">5710 Quinn Landing Houston, TX 77091</t>
  </si>
  <si>
    <t xml:space="preserve">2419</t>
  </si>
  <si>
    <t xml:space="preserve">SG Management LLC</t>
  </si>
  <si>
    <t xml:space="preserve">1299881</t>
  </si>
  <si>
    <t xml:space="preserve">TDECU</t>
  </si>
  <si>
    <t xml:space="preserve">3318 Schroeder</t>
  </si>
  <si>
    <t xml:space="preserve">104665</t>
  </si>
  <si>
    <t xml:space="preserve">Listing agent commission</t>
  </si>
  <si>
    <t xml:space="preserve">232098</t>
  </si>
  <si>
    <t xml:space="preserve">Patten title</t>
  </si>
  <si>
    <t xml:space="preserve">2703 Glenn Lakes</t>
  </si>
  <si>
    <t xml:space="preserve">64427</t>
  </si>
  <si>
    <t xml:space="preserve">1791141</t>
  </si>
  <si>
    <t xml:space="preserve">43756</t>
  </si>
  <si>
    <t xml:space="preserve">WPG National Title</t>
  </si>
  <si>
    <t xml:space="preserve">23-121431</t>
  </si>
  <si>
    <t xml:space="preserve">10458</t>
  </si>
  <si>
    <t xml:space="preserve">Partners Title Company</t>
  </si>
  <si>
    <t xml:space="preserve">Order # WL-7199</t>
  </si>
  <si>
    <t xml:space="preserve">518005123</t>
  </si>
  <si>
    <t xml:space="preserve">? Couldn't locate</t>
  </si>
  <si>
    <t xml:space="preserve">526070032</t>
  </si>
  <si>
    <t xml:space="preserve">Alamo Title Company</t>
  </si>
  <si>
    <t xml:space="preserve">393737</t>
  </si>
  <si>
    <t xml:space="preserve">LM - Believe this transaction got processed as TC, but we owed Renee Meals the payment</t>
  </si>
  <si>
    <t xml:space="preserve">6110 Marble Hollow Ln</t>
  </si>
  <si>
    <t xml:space="preserve">43891</t>
  </si>
  <si>
    <t xml:space="preserve">Botts Title</t>
  </si>
  <si>
    <t xml:space="preserve">1130</t>
  </si>
  <si>
    <t xml:space="preserve">Dunbar Development LLC</t>
  </si>
  <si>
    <t xml:space="preserve">19736 Dunbar Ave </t>
  </si>
  <si>
    <t xml:space="preserve">518006144</t>
  </si>
  <si>
    <t xml:space="preserve">2269</t>
  </si>
  <si>
    <t xml:space="preserve">Wynnewood at Wortham APTS</t>
  </si>
  <si>
    <t xml:space="preserve">120455</t>
  </si>
  <si>
    <t xml:space="preserve">2027</t>
  </si>
  <si>
    <t xml:space="preserve">Harper Property Management</t>
  </si>
  <si>
    <t xml:space="preserve">1037</t>
  </si>
  <si>
    <t xml:space="preserve">518006434</t>
  </si>
  <si>
    <t xml:space="preserve">518006479</t>
  </si>
  <si>
    <t xml:space="preserve">23210</t>
  </si>
  <si>
    <t xml:space="preserve">Stratos Title</t>
  </si>
  <si>
    <t xml:space="preserve">23246</t>
  </si>
  <si>
    <t xml:space="preserve">125437</t>
  </si>
  <si>
    <t xml:space="preserve">DHI Title</t>
  </si>
  <si>
    <t xml:space="preserve">2085</t>
  </si>
  <si>
    <t xml:space="preserve">Ranch at City Park Apts</t>
  </si>
  <si>
    <t xml:space="preserve">2599</t>
  </si>
  <si>
    <t xml:space="preserve">3203 Ladera Creek Ct</t>
  </si>
  <si>
    <t xml:space="preserve">779</t>
  </si>
  <si>
    <t xml:space="preserve">Full check for $2149.00</t>
  </si>
  <si>
    <t xml:space="preserve">132999</t>
  </si>
  <si>
    <t xml:space="preserve">575018277</t>
  </si>
  <si>
    <t xml:space="preserve">Texas American Title Company</t>
  </si>
  <si>
    <t xml:space="preserve">File # 2757524-06317</t>
  </si>
  <si>
    <t xml:space="preserve">33174</t>
  </si>
  <si>
    <t xml:space="preserve">c. Drake 7026 Chershire Park</t>
  </si>
  <si>
    <t xml:space="preserve">100014</t>
  </si>
  <si>
    <t xml:space="preserve">7709 Independence St</t>
  </si>
  <si>
    <t xml:space="preserve">6050</t>
  </si>
  <si>
    <t xml:space="preserve">StressFree Property Solutions</t>
  </si>
  <si>
    <t xml:space="preserve">140657</t>
  </si>
  <si>
    <t xml:space="preserve">Riverway Title</t>
  </si>
  <si>
    <t xml:space="preserve">File No 241599Z1-KI-KLD</t>
  </si>
  <si>
    <t xml:space="preserve">136236</t>
  </si>
  <si>
    <t xml:space="preserve">DHI Tlitle Agency</t>
  </si>
  <si>
    <t xml:space="preserve">5012</t>
  </si>
  <si>
    <t xml:space="preserve">Shortage Correction</t>
  </si>
  <si>
    <t xml:space="preserve">2565</t>
  </si>
  <si>
    <t xml:space="preserve">140</t>
  </si>
  <si>
    <t xml:space="preserve">11822 Rowan Agent: Flor Gonzales</t>
  </si>
  <si>
    <t xml:space="preserve">trn 12/6/24</t>
  </si>
  <si>
    <t xml:space="preserve">140502</t>
  </si>
  <si>
    <t xml:space="preserve">trn 2/7/2025</t>
  </si>
  <si>
    <t xml:space="preserve">13217 Dalvay Beach Drive</t>
  </si>
  <si>
    <t xml:space="preserve">7219531668</t>
  </si>
  <si>
    <t xml:space="preserve">17626</t>
  </si>
  <si>
    <t xml:space="preserve">1414 Antoine</t>
  </si>
  <si>
    <t xml:space="preserve">799900</t>
  </si>
  <si>
    <t xml:space="preserve">6850404661</t>
  </si>
  <si>
    <t xml:space="preserve">217000</t>
  </si>
  <si>
    <t xml:space="preserve">Olympus/Nelson Property Mgmt</t>
  </si>
  <si>
    <t xml:space="preserve">1010</t>
  </si>
  <si>
    <t xml:space="preserve">West Houston Property Management LLC</t>
  </si>
  <si>
    <t xml:space="preserve">2413 Anita St</t>
  </si>
  <si>
    <t xml:space="preserve">154666</t>
  </si>
  <si>
    <t xml:space="preserve">Inspired Title Services, LLC</t>
  </si>
  <si>
    <t xml:space="preserve">103233</t>
  </si>
  <si>
    <t xml:space="preserve">Skyline Title, LLC</t>
  </si>
  <si>
    <t xml:space="preserve">2120 El Paseo St Unit 2106 Houston TX 77054</t>
  </si>
  <si>
    <t xml:space="preserve">921264804</t>
  </si>
  <si>
    <t xml:space="preserve">Chase Check</t>
  </si>
  <si>
    <t xml:space="preserve">9435127468</t>
  </si>
  <si>
    <t xml:space="preserve">Chase Money Order - Wyatt Bingham</t>
  </si>
  <si>
    <t xml:space="preserve">10432 Hammerly</t>
  </si>
  <si>
    <t xml:space="preserve">674363</t>
  </si>
  <si>
    <t xml:space="preserve">Amegy Bank Cashier's check - John Snyder</t>
  </si>
  <si>
    <t xml:space="preserve">233686</t>
  </si>
  <si>
    <t xml:space="preserve">CarefreeTitle Agency</t>
  </si>
  <si>
    <t xml:space="preserve">2523 Paloverde Canyon Court</t>
  </si>
  <si>
    <t xml:space="preserve">Money Order</t>
  </si>
  <si>
    <t xml:space="preserve">Possibly 559 Bissonnet St</t>
  </si>
  <si>
    <t xml:space="preserve">22922</t>
  </si>
  <si>
    <t xml:space="preserve">Latoya M Johnston - Navy Federal credit Union Cashier's Check</t>
  </si>
  <si>
    <t xml:space="preserve">1509</t>
  </si>
  <si>
    <t xml:space="preserve">L2 Uptown</t>
  </si>
  <si>
    <t xml:space="preserve">10421</t>
  </si>
  <si>
    <t xml:space="preserve">Acrisure Title</t>
  </si>
  <si>
    <t xml:space="preserve">2712000749</t>
  </si>
  <si>
    <t xml:space="preserve">Remitted by Malik Dontal McGill</t>
  </si>
  <si>
    <t xml:space="preserve">44511</t>
  </si>
  <si>
    <t xml:space="preserve">6126 Larchwood St</t>
  </si>
  <si>
    <t xml:space="preserve">44512</t>
  </si>
  <si>
    <t xml:space="preserve">126415</t>
  </si>
  <si>
    <t xml:space="preserve">EXP Realty (2219 Rimland Dr)</t>
  </si>
  <si>
    <t xml:space="preserve">15119</t>
  </si>
  <si>
    <t xml:space="preserve">Penn Land Transfer - Broker fees</t>
  </si>
  <si>
    <t xml:space="preserve">15121</t>
  </si>
  <si>
    <t xml:space="preserve">Penn Land Transfer - E&amp;O</t>
  </si>
  <si>
    <t xml:space="preserve">Wire 7/12/24</t>
  </si>
  <si>
    <t xml:space="preserve">1233 W VENANGO</t>
  </si>
  <si>
    <t xml:space="preserve">2887</t>
  </si>
  <si>
    <t xml:space="preserve">1324 Locust St 213</t>
  </si>
  <si>
    <t xml:space="preserve">2900</t>
  </si>
  <si>
    <t xml:space="preserve">5437 Baltimore Ave 1</t>
  </si>
  <si>
    <t xml:space="preserve">518928999</t>
  </si>
  <si>
    <t xml:space="preserve">Citizens</t>
  </si>
  <si>
    <t xml:space="preserve">417459</t>
  </si>
  <si>
    <t xml:space="preserve">Loandepot.com LLC</t>
  </si>
  <si>
    <t xml:space="preserve">417053</t>
  </si>
  <si>
    <t xml:space="preserve">1331</t>
  </si>
  <si>
    <t xml:space="preserve">241</t>
  </si>
  <si>
    <t xml:space="preserve">NJ Brokers License</t>
  </si>
  <si>
    <t xml:space="preserve">15907</t>
  </si>
  <si>
    <t xml:space="preserve">PA Land Settlement Services</t>
  </si>
  <si>
    <t xml:space="preserve">15908</t>
  </si>
  <si>
    <t xml:space="preserve">15910</t>
  </si>
  <si>
    <t xml:space="preserve">wire</t>
  </si>
  <si>
    <t xml:space="preserve">13836</t>
  </si>
  <si>
    <t xml:space="preserve">9 SUMMIT AVE</t>
  </si>
  <si>
    <t xml:space="preserve">13835</t>
  </si>
  <si>
    <t xml:space="preserve">conveyance</t>
  </si>
  <si>
    <t xml:space="preserve">5282446</t>
  </si>
  <si>
    <t xml:space="preserve">Dominique Hill</t>
  </si>
  <si>
    <t xml:space="preserve">169</t>
  </si>
  <si>
    <t xml:space="preserve">E&amp;O</t>
  </si>
  <si>
    <t xml:space="preserve">168</t>
  </si>
  <si>
    <t xml:space="preserve">Convey</t>
  </si>
  <si>
    <t xml:space="preserve">701611</t>
  </si>
  <si>
    <t xml:space="preserve">N&amp;J Abstract (651 Germantown Pike)</t>
  </si>
  <si>
    <t xml:space="preserve">2113251</t>
  </si>
  <si>
    <t xml:space="preserve">16130202600</t>
  </si>
  <si>
    <t xml:space="preserve">519627385</t>
  </si>
  <si>
    <t xml:space="preserve">519627385-8</t>
  </si>
  <si>
    <t xml:space="preserve">2721 NEWELL DR Love Beasley</t>
  </si>
  <si>
    <t xml:space="preserve">6537</t>
  </si>
  <si>
    <t xml:space="preserve">506 Lincoln Avenue (found searching Pending Paperless)</t>
  </si>
  <si>
    <t xml:space="preserve">162</t>
  </si>
  <si>
    <t xml:space="preserve">47111</t>
  </si>
  <si>
    <t xml:space="preserve">"commissions"</t>
  </si>
  <si>
    <t xml:space="preserve">Wire</t>
  </si>
  <si>
    <t xml:space="preserve">27 S Woodland Ave</t>
  </si>
  <si>
    <t xml:space="preserve">2393</t>
  </si>
  <si>
    <t xml:space="preserve">ach</t>
  </si>
  <si>
    <t xml:space="preserve">125399</t>
  </si>
  <si>
    <t xml:space="preserve">Cadence 0264</t>
  </si>
  <si>
    <t xml:space="preserve">Regions 6744</t>
  </si>
  <si>
    <t xml:space="preserve">unidentified deposit</t>
  </si>
  <si>
    <t xml:space="preserve">Current-month unbooked deposits ('Deposited checks' block, no 'x' in Sage column) - all September/October 2026</t>
  </si>
  <si>
    <t xml:space="preserve">Listed only so the Summary ties to the cash-requirements workbook. These are in the normal matching cycle and are not an unclaimed-property concern today.</t>
  </si>
  <si>
    <t xml:space="preserve">6423804118</t>
  </si>
  <si>
    <t xml:space="preserve">934707304</t>
  </si>
  <si>
    <t xml:space="preserve">934659478</t>
  </si>
  <si>
    <t xml:space="preserve">8510735044</t>
  </si>
  <si>
    <t xml:space="preserve">2263</t>
  </si>
  <si>
    <t xml:space="preserve">7255</t>
  </si>
  <si>
    <t xml:space="preserve">1321</t>
  </si>
  <si>
    <t xml:space="preserve">8737</t>
  </si>
  <si>
    <t xml:space="preserve">35245</t>
  </si>
  <si>
    <t xml:space="preserve">37957</t>
  </si>
  <si>
    <t xml:space="preserve">1007121877</t>
  </si>
  <si>
    <t xml:space="preserve">1067</t>
  </si>
  <si>
    <t xml:space="preserve">2463</t>
  </si>
  <si>
    <t xml:space="preserve">936318872</t>
  </si>
  <si>
    <t xml:space="preserve">1007121868</t>
  </si>
  <si>
    <t xml:space="preserve">CapOne</t>
  </si>
  <si>
    <t xml:space="preserve">187876</t>
  </si>
  <si>
    <t xml:space="preserve">1573</t>
  </si>
  <si>
    <t xml:space="preserve">Chase</t>
  </si>
  <si>
    <t xml:space="preserve">2562</t>
  </si>
  <si>
    <t xml:space="preserve">237769268</t>
  </si>
  <si>
    <t xml:space="preserve">6043577</t>
  </si>
  <si>
    <t xml:space="preserve">4227</t>
  </si>
  <si>
    <t xml:space="preserve">1048</t>
  </si>
  <si>
    <t xml:space="preserve">5041036114</t>
  </si>
  <si>
    <t xml:space="preserve">48438</t>
  </si>
  <si>
    <t xml:space="preserve">550058834</t>
  </si>
  <si>
    <t xml:space="preserve">664</t>
  </si>
  <si>
    <t xml:space="preserve">860570</t>
  </si>
  <si>
    <t xml:space="preserve">7227004805</t>
  </si>
  <si>
    <t xml:space="preserve">52556</t>
  </si>
  <si>
    <t xml:space="preserve">5386309</t>
  </si>
  <si>
    <t xml:space="preserve">3355</t>
  </si>
  <si>
    <t xml:space="preserve">5710</t>
  </si>
  <si>
    <t xml:space="preserve">10580</t>
  </si>
  <si>
    <t xml:space="preserve">10583</t>
  </si>
  <si>
    <t xml:space="preserve">723502845</t>
  </si>
  <si>
    <t xml:space="preserve">1942</t>
  </si>
  <si>
    <t xml:space="preserve">2605153993</t>
  </si>
  <si>
    <t xml:space="preserve">180</t>
  </si>
  <si>
    <t xml:space="preserve">242130</t>
  </si>
  <si>
    <t xml:space="preserve">695000866</t>
  </si>
  <si>
    <t xml:space="preserve">95692</t>
  </si>
  <si>
    <t xml:space="preserve">5041036099</t>
  </si>
  <si>
    <t xml:space="preserve">179</t>
  </si>
  <si>
    <t xml:space="preserve">Regions</t>
  </si>
  <si>
    <t xml:space="preserve">What is missing, and what to do next</t>
  </si>
  <si>
    <t xml:space="preserve">#</t>
  </si>
  <si>
    <t xml:space="preserve">Item</t>
  </si>
  <si>
    <t xml:space="preserve">Why it matters</t>
  </si>
  <si>
    <t xml:space="preserve">Who / where</t>
  </si>
  <si>
    <t xml:space="preserve">DATA GAP: the fee vs. agent split of every check is unknown</t>
  </si>
  <si>
    <t xml:space="preserve">The source workbook has E&amp;O / FEE / Commission columns but they are empty for all 181 items. Only the agent's share (and any amount that belongs to the payer) can ever be unclaimed property. The company's own fee is revenue. Until the split is known, every dollar figure on the Summary is an upper bound, not an amount to remit.</t>
  </si>
  <si>
    <t xml:space="preserve">Match each check to its Paperless Pipeline transaction; fill Detail cols U-W.</t>
  </si>
  <si>
    <t xml:space="preserve">DATA GAP: owner identity and last-known address</t>
  </si>
  <si>
    <t xml:space="preserve">The first priority rule sends property to the state of the owner's last-known address. Most items have no agent named. Without an address the property defaults to the holder entity's state of formation (second priority rule), not to the office's state.</t>
  </si>
  <si>
    <t xml:space="preserve">Agent master file / Paperless Pipeline; fill Detail cols S-T.</t>
  </si>
  <si>
    <t xml:space="preserve">DATA GAP: legal entity and state of formation for each office</t>
  </si>
  <si>
    <t xml:space="preserve">Needed for the second-priority rule and to know which state's VDA to approach. 'Corporate HQ in Kansas City' is not the test - the formation state of each JV entity is.</t>
  </si>
  <si>
    <t xml:space="preserve">Legal / entity org chart.</t>
  </si>
  <si>
    <t xml:space="preserve">CONFIRM: which tab is Florida and which is Alabama</t>
  </si>
  <si>
    <t xml:space="preserve">The analysis assumes Gallery = FL and Leading Edge = AL based on their banks. Both balances are small and entirely 2026, so the dollar effect of being wrong is nil today, but the rules differ (FL general period 5 yrs, AL 3 yrs).</t>
  </si>
  <si>
    <t xml:space="preserve">User.</t>
  </si>
  <si>
    <t xml:space="preserve">CONFIRM: payable date vs. deposit date</t>
  </si>
  <si>
    <t xml:space="preserve">Dormancy runs from when the amount became payable to the owner, not from when the check was deposited. Deposit date is used as a proxy throughout. If agents are paid on closing, the closing date is the better trigger and could be earlier.</t>
  </si>
  <si>
    <t xml:space="preserve">Paperless Pipeline closing dates.</t>
  </si>
  <si>
    <t xml:space="preserve">CONFIRM: independent-contractor status of agents (Texas especially)</t>
  </si>
  <si>
    <t xml:space="preserve">Texas' 1-year rule applies to 'wages' as defined in Labor Code 61.001, which excludes independent contractors. If agents are 1099 contractors, the 3-year general rule is the likely Texas test; if any are W-2, the 1-year rule applies to them.</t>
  </si>
  <si>
    <t xml:space="preserve">HR / agent agreements; confirm with counsel.</t>
  </si>
  <si>
    <t xml:space="preserve">CONFIRM: prior-year write-offs</t>
  </si>
  <si>
    <t xml:space="preserve">Ask whether any older unapplied deposits were ever written off to revenue in prior years. Amounts owed to others that were taken into income are still reportable ('private escheat' is not permitted) and audits typically look back 10+ years.</t>
  </si>
  <si>
    <t xml:space="preserve">Accounting.</t>
  </si>
  <si>
    <t xml:space="preserve">ACTION: work the oldest items first</t>
  </si>
  <si>
    <t xml:space="preserve">Houston has four items from 2022 and Dallas/TUR/Philly have 2023 items. Under the Texas 3-year test, every Texas item deposited before 3/1/2023 would already have been due on the July 1, 2026 report if it was owed to someone else; the Detail tab's 'Dormant date - LONG' column identifies them.</t>
  </si>
  <si>
    <t xml:space="preserve">ACTION: run due-diligence letters before any filing</t>
  </si>
  <si>
    <t xml:space="preserve">Every state in scope requires a written notice to the owner before remittance (TX: &gt;$250, 60+ days before delivery; PA/IL/FL/AL/MO: $50 threshold per sources). A response from the owner stops the clock and lets you pay them directly instead of the state.</t>
  </si>
  <si>
    <t xml:space="preserve">Accounting; template letters.</t>
  </si>
  <si>
    <t xml:space="preserve">ACTION: consider a Voluntary Disclosure Agreement for Texas</t>
  </si>
  <si>
    <t xml:space="preserve">Three Texas entities hold about 85% of the aged balance. Texas waives penalty and interest under a VDA but it must be requested before any Comptroller inquiry. Florida has a similar program. Confirm eligibility with the Comptroller or counsel.</t>
  </si>
  <si>
    <t xml:space="preserve">Counsel / Comptroller.</t>
  </si>
  <si>
    <t xml:space="preserve">ACTION: items that are not the company's money</t>
  </si>
  <si>
    <t xml:space="preserve">Memo-flagged items (e.g. 'not for this address', 'Not in PP', 'duplicate?', 'Dallas transaction' deposited in Houston) are owed back to the payer, not to an agent. Return them to the payer now; a refund resolves the item and removes it from the escheat population.</t>
  </si>
  <si>
    <t xml:space="preserve">ACTION: legal hold item</t>
  </si>
  <si>
    <t xml:space="preserve">Houston row 27 ($1,500, 7/18/2023, memo: on hold per law enforcement). Keep segregated; document the hold; do not escheat or release without counsel.</t>
  </si>
  <si>
    <t xml:space="preserve">Counsel.</t>
  </si>
  <si>
    <t xml:space="preserve">NOT VERIFIED in this session</t>
  </si>
  <si>
    <t xml:space="preserve">Statute and state-treasury web pages were blocked by this session's network policy, so every rule on the State Rules tab rests on search-engine summaries of those pages and on secondary sources (Sovos, UPPO, law-firm alerts). Specific items I could not confirm: Illinois business-holder report deadline; PA December 31 cutoff and VDA terms; FL and AL due-diligence thresholds; MO VDA. Treat the State Rules tab as a starting point for counsel, not a filing position.</t>
  </si>
  <si>
    <t xml:space="preserve">Counsel / unclaimed-property advisor.</t>
  </si>
  <si>
    <t xml:space="preserve">Method</t>
  </si>
  <si>
    <t xml:space="preserve">1. Source file: United_Cash_Requirements.xlsx as provided on 10/6/2026 (file name f519c0da-United_Cash_Requirements.xlsx).</t>
  </si>
  <si>
    <t xml:space="preserve">2. For each entity tab, the 'Previous Month's Accrued Commissions' block was read (Dallas M20:R143, Chicago R20:V190, Houston M20:R286, Philly S21:W133, DC R22:V194, TUR M21:R299, Leading Edge AA22:AE195 and AG22:AK195, Gallery M21:R299). Rows without an 'x' in the 'accounted for in Sage' column are the unbooked items that make up the accrued balance.</t>
  </si>
  <si>
    <t xml:space="preserve">3. Each entity's extracted unbooked total was tied to the tab's 'outstanding amount' cell (Dallas M18 = 59,991.62; Houston M18 = 76,889.50; Philly S19 = 29,708.78; TUR M19 = 55,528.45; Leading Edge AA20 = 250.00 and AG20 = 395.00; Gallery M19 = 4,001.11; Chicago R18 = 0; DC R20 = 0). All tie exactly.</t>
  </si>
  <si>
    <t xml:space="preserve">4. The current-month 'Deposited checks' blocks were read the same way and tie to each tab's A18/A19 (and the second-bank cells) and to the source Summary row 5.</t>
  </si>
  <si>
    <t xml:space="preserve">5. URE Corp carries no accrued commissions (A4 = -O58 where O58 is empty).</t>
  </si>
  <si>
    <t xml:space="preserve">6. Ages are computed from the deposit date to the as-of date. Dormant dates = deposit date + the state period in months (EDATE).</t>
  </si>
  <si>
    <t xml:space="preserve">7. Classification hints are heuristics on amount and memo text only; they are not conclusions.</t>
  </si>
  <si>
    <t xml:space="preserve">8. State rules were researched by web search on 10/6/2026. Primary statute pages could not be opened from this session; see the State Rules tab 'Verification status' column for what is and is not confirmed.</t>
  </si>
  <si>
    <t xml:space="preserve">Unclaimed property rules by state - dormancy periods applied in this analysis</t>
  </si>
  <si>
    <t xml:space="preserve">Short period = the period for wages / compensation for personal services. Long period = the general catch-all period. Which one applies to independent-contractor agent commissions is a legal question that differs by state (see basis columns). Verification column says what could and could not be confirmed from primary sources in this session.</t>
  </si>
  <si>
    <t xml:space="preserve">Name</t>
  </si>
  <si>
    <t xml:space="preserve">Short period basis</t>
  </si>
  <si>
    <t xml:space="preserve">Long period basis</t>
  </si>
  <si>
    <t xml:space="preserve">Report due</t>
  </si>
  <si>
    <t xml:space="preserve">Report cutoff ('as of')</t>
  </si>
  <si>
    <t xml:space="preserve">Next cutoff date</t>
  </si>
  <si>
    <t xml:space="preserve">Due diligence to owner</t>
  </si>
  <si>
    <t xml:space="preserve">Voluntary disclosure / penalties</t>
  </si>
  <si>
    <t xml:space="preserve">Verification status</t>
  </si>
  <si>
    <t xml:space="preserve">Sources</t>
  </si>
  <si>
    <t xml:space="preserve">Texas</t>
  </si>
  <si>
    <t xml:space="preserve">Unclaimed 'wages' - Tex. Prop. Code 72.1015 (1 year). 'Wages' takes its meaning from Labor Code 61.001, which covers compensation owed by an EMPLOYER to an EMPLOYEE and excludes independent contractors. Independent-contractor agent commissions therefore likely fall under the general rule, not the 1-year rule - confirm with counsel / Comptroller.</t>
  </si>
  <si>
    <t xml:space="preserve">General personal property - Tex. Prop. Code 72.101(a): presumed abandoned after more than 3 years with owner location unknown and no claim/act of ownership.</t>
  </si>
  <si>
    <t xml:space="preserve">July 1 (Tex. Prop. Code 74.101)</t>
  </si>
  <si>
    <t xml:space="preserve">March 1 (property held on March 1 is reported the following July 1)</t>
  </si>
  <si>
    <t xml:space="preserve">Notice to owner by mail/e-mail at least 60 days before delivery for property over $250 (Tex. Prop. Code 74.1011).</t>
  </si>
  <si>
    <t xml:space="preserve">Comptroller offers a Voluntary Disclosure Agreement with waiver of penalty and interest; not available once an investigation has started or (per secondary sources) to holders who have filed Texas reports before.</t>
  </si>
  <si>
    <t xml:space="preserve">Dormancy periods, report date, and due-diligence rule confirmed from search summaries of the statute text; statute pages themselves were blocked by this session's network policy. No business-to-business exemption was found for Texas.</t>
  </si>
  <si>
    <t xml:space="preserve">https://statutes.capitol.texas.gov/docs/PR/htm/PR.72.htm ; https://statutes.capitol.texas.gov/Docs/PR/htm/PR.74.htm ; https://texas.public.law/statutes/tex._prop._code_section_72.1015 ; https://texas.public.law/statutes/tex._labor_code_section_61.001 ; https://www.comptroller.texas.gov/taxes/publications/96-576.php</t>
  </si>
  <si>
    <t xml:space="preserve">Illinois</t>
  </si>
  <si>
    <t xml:space="preserve">765 ILCS 1026/15-201: 'wages, commissions, bonuses, or reimbursements to which an employee is entitled, or other compensation for personal services' - 1 year after payable. The 'other compensation for personal services' language is broader than Texas and plausibly reaches independent-contractor commissions.</t>
  </si>
  <si>
    <t xml:space="preserve">765 ILCS 1026/15-201 catch-all: all other property 3 years after the obligation to pay arises (per secondary sources).</t>
  </si>
  <si>
    <t xml:space="preserve">November 1 for financial, insurance and government holders (confirmed). Deadline for ordinary business holders NOT confirmed from the statute in this session - the prior Illinois act used May 1 with a December 31 cutoff. CONFIRM.</t>
  </si>
  <si>
    <t xml:space="preserve">June 30 for the November 1 filers; business-holder cutoff NOT confirmed.</t>
  </si>
  <si>
    <t xml:space="preserve">Due-diligence letter by first-class mail for property over $50, sent 60 to 365 days before the report (per Illinois Treasurer guidance summary).</t>
  </si>
  <si>
    <t xml:space="preserve">Not researched in this session.</t>
  </si>
  <si>
    <t xml:space="preserve">Illinois eliminated its business-to-business exemption when it adopted RUUPA (effective 1/1/2018). Chicago's prior-month accrued balance is $0, so Illinois exposure today is only the current-month unbooked deposits.</t>
  </si>
  <si>
    <t xml:space="preserve">https://www.ilga.gov/legislation/ilcs/documents/076510260K15-201.htm ; https://icash.illinoistreasurer.gov/app/faq ; https://www.duanemorris.com/articles/illinois_slides_backward_unclaimed_property_law_0917.html</t>
  </si>
  <si>
    <t xml:space="preserve">Pennsylvania</t>
  </si>
  <si>
    <t xml:space="preserve">Wages / commissions - 2 years per the PA Treasury Dormancy Matrix as summarized in search results (cited there as 72 P.S. 1301.5). NOT verified from the statute text in this session.</t>
  </si>
  <si>
    <t xml:space="preserve">General dormancy period 3 years for most property types (72 P.S. 1301.1 et seq.) per secondary sources.</t>
  </si>
  <si>
    <t xml:space="preserve">April 15</t>
  </si>
  <si>
    <t xml:space="preserve">December 31 (per secondary sources; NOT verified from statute in this session)</t>
  </si>
  <si>
    <t xml:space="preserve">Written notice by first-class mail 60 to 120 days before the April 15 deadline for property of $50 or more with a usable address.</t>
  </si>
  <si>
    <t xml:space="preserve">PA's formal amnesty program ended 10/31/2010. Interest of 12% per year from the date the property was due is cited by secondary sources. Ask PA Treasury about current voluntary compliance terms.</t>
  </si>
  <si>
    <t xml:space="preserve">All PA facts come from secondary summaries (PA Treasury Dormancy Matrix as quoted, Sovos, UPPO). Statute and Treasury pages were blocked in this session.</t>
  </si>
  <si>
    <t xml:space="preserve">https://www.patreasury.gov/pdf/unclaimed-property/Dormancy-Matrix.pdf ; https://www.patreasury.gov/unclaimed-property/holders/ ; https://sovos.com/tax-reporting/unclaimed-property-laws-by-state/pennsylvania/</t>
  </si>
  <si>
    <t xml:space="preserve">Florida</t>
  </si>
  <si>
    <t xml:space="preserve">Fla. Stat. 717.115: unpaid WAGES owing in the ordinary course of business unclaimed for more than 1 year after becoming payable. Whether independent-contractor commissions are 'wages' here is not settled in the sources found - if not, the 5-year general rule applies.</t>
  </si>
  <si>
    <t xml:space="preserve">Fla. Stat. 717.102(1): general 5-year dormancy period for other intangible property.</t>
  </si>
  <si>
    <t xml:space="preserve">Before May 1, covering the preceding calendar year (Fla. Stat. 717.117)</t>
  </si>
  <si>
    <t xml:space="preserve">December 31</t>
  </si>
  <si>
    <t xml:space="preserve">Report must list owners with property of $50 or more; due-diligence notice requirement in 717.117 (threshold and timing not verified from statute text in this session).</t>
  </si>
  <si>
    <t xml:space="preserve">Florida has a Voluntary Disclosure program: no penalties, 5-year look-back instead of 10, 2-year audit window after acceptance (per secondary summary of Florida DFS program).</t>
  </si>
  <si>
    <t xml:space="preserve">Dormancy periods and report date confirmed from search summaries of the statute; statute pages blocked. Gallery = Florida is an ASSUMPTION.</t>
  </si>
  <si>
    <t xml:space="preserve">https://www.flsenate.gov/Laws/Statutes/2024/717.115 ; https://www.flsenate.gov/Laws/Statutes/2024/717.102 ; https://flsenate.gov/Laws/Statutes/2024/717.117 ; https://www.fltreasurehunt.gov/Holder.jsp</t>
  </si>
  <si>
    <t xml:space="preserve">Alabama</t>
  </si>
  <si>
    <t xml:space="preserve">Ala. Code 35-12-72: 'wages or other compensation for personal services' presumed abandoned 1 year after the compensation becomes payable. 'Other compensation for personal services' plausibly reaches independent-contractor commissions.</t>
  </si>
  <si>
    <t xml:space="preserve">Ala. Code 35-12-72: all other property 3 years after the owner's right to demand it or the obligation to pay arises, whichever is first.</t>
  </si>
  <si>
    <t xml:space="preserve">November 1, covering the 12 months preceding July 1</t>
  </si>
  <si>
    <t xml:space="preserve">June 30</t>
  </si>
  <si>
    <t xml:space="preserve">Aggregate/reporting threshold $50 per secondary sources; due-diligence notice rule (35-12-77) not verified in this session.</t>
  </si>
  <si>
    <t xml:space="preserve">Dormancy periods confirmed from search summaries of the Code; Code pages blocked. Leading Edge = Alabama is an ASSUMPTION.</t>
  </si>
  <si>
    <t xml:space="preserve">https://law.justia.com/codes/alabama/2023/title-35/chapter-12/article-2/article-2a/section-35-12-72 ; https://treasury.alabama.gov/alabama-treasury-law/unclaimed-property-law/ ; https://unclaimed.org/reporting/alabama/</t>
  </si>
  <si>
    <t xml:space="preserve">MO</t>
  </si>
  <si>
    <t xml:space="preserve">Missouri (HQ / possible state of formation)</t>
  </si>
  <si>
    <t xml:space="preserve">RSMo 447.536 as amended by HB 1075 (2014): payroll/wages dormancy reduced from 5 to 3 years effective 1/1/2015.</t>
  </si>
  <si>
    <t xml:space="preserve">RSMo 447.536: general 5-year dormancy period for most property types.</t>
  </si>
  <si>
    <t xml:space="preserve">November 1</t>
  </si>
  <si>
    <t xml:space="preserve">Due diligence letter required when the owner is due $50 or more (Missouri Treasurer guidance).</t>
  </si>
  <si>
    <t xml:space="preserve">Missouri matters only under the SECOND priority rule (Texas v. New Jersey, 379 U.S. 674 (1965)): property whose owner address is unknown goes to the holder's state of incorporation/formation - which is the entity's formation state, NOT its headquarters city. Missouri also has a business-to-business exclusion (HB 1075, 2014) for checks/credits owed to a business entity in the ordinary course of business.</t>
  </si>
  <si>
    <t xml:space="preserve">https://revisor.mo.gov/main/OneSection.aspx?section=447.536 ; https://treasurer.mo.gov/UCP/ReportingUnclaimedProperty.aspx ; https://ryan.com/about-ryan/news-and-insights/2014/missouri-legislation-adds-unclaimed-property-business-to-business-exclusions-and-other-changes/</t>
  </si>
  <si>
    <t xml:space="preserve">District of Columbia</t>
  </si>
  <si>
    <t xml:space="preserve">Not researched - DC accrued balance is $0.</t>
  </si>
  <si>
    <t xml:space="preserve">Not researched.</t>
  </si>
  <si>
    <t xml:space="preserve">Priority rules (Texas v. New Jersey, 379 U.S. 674 (1965)): (1) the state of the owner's last-known address on the holder's books; (2) if no address, the holder's state of incorporation/formation. Private retention of amounts owed to others ('private escheat') is not permitted by any state; an unknown owner does not make the money the company's.</t>
  </si>
  <si>
    <t xml:space="preserve">Blue = hardcoded inputs you can change. All dormancy periods are expressed in years and are applied from the DEPOSIT DATE in the cash-requirements workbook as a proxy for the date the amount became payable - the true trigger is when the agent's share became payable, which may be earlier (closing date) or later.</t>
  </si>
</sst>
</file>

<file path=xl/styles.xml><?xml version="1.0" encoding="utf-8"?>
<styleSheet xmlns="http://schemas.openxmlformats.org/spreadsheetml/2006/main">
  <numFmts count="5">
    <numFmt numFmtId="164" formatCode="General"/>
    <numFmt numFmtId="165" formatCode="mm/dd/yyyy"/>
    <numFmt numFmtId="166" formatCode="\$#,##0.00;&quot;($&quot;#,##0.00\);\-"/>
    <numFmt numFmtId="167" formatCode="General"/>
    <numFmt numFmtId="168" formatCode="0.00"/>
  </numFmts>
  <fonts count="11">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0"/>
      <name val="Arial"/>
      <family val="0"/>
      <charset val="1"/>
    </font>
    <font>
      <sz val="10"/>
      <color rgb="FF0000FF"/>
      <name val="Arial"/>
      <family val="0"/>
      <charset val="1"/>
    </font>
    <font>
      <b val="true"/>
      <sz val="10"/>
      <color rgb="FFFFFFFF"/>
      <name val="Arial"/>
      <family val="0"/>
      <charset val="1"/>
    </font>
    <font>
      <b val="true"/>
      <sz val="10"/>
      <name val="Arial"/>
      <family val="0"/>
      <charset val="1"/>
    </font>
    <font>
      <sz val="10"/>
      <color rgb="FF008000"/>
      <name val="Arial"/>
      <family val="0"/>
      <charset val="1"/>
    </font>
    <font>
      <sz val="10"/>
      <name val="Arial"/>
      <family val="2"/>
    </font>
  </fonts>
  <fills count="6">
    <fill>
      <patternFill patternType="none"/>
    </fill>
    <fill>
      <patternFill patternType="gray125"/>
    </fill>
    <fill>
      <patternFill patternType="solid">
        <fgColor rgb="FFFFFF00"/>
        <bgColor rgb="FFFFFF00"/>
      </patternFill>
    </fill>
    <fill>
      <patternFill patternType="solid">
        <fgColor rgb="FF1F3864"/>
        <bgColor rgb="FF333333"/>
      </patternFill>
    </fill>
    <fill>
      <patternFill patternType="solid">
        <fgColor rgb="FFD9E1F2"/>
        <bgColor rgb="FFFCE4D6"/>
      </patternFill>
    </fill>
    <fill>
      <patternFill patternType="solid">
        <fgColor rgb="FFFCE4D6"/>
        <bgColor rgb="FFD9E1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6" fillId="2"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general" vertical="center" textRotation="0" wrapText="tru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6" fillId="2" borderId="1" xfId="0" applyFont="true" applyBorder="true" applyAlignment="false" applyProtection="false">
      <alignment horizontal="general" vertical="bottom" textRotation="0" wrapText="fals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6" fontId="5" fillId="0" borderId="1" xfId="0" applyFont="true" applyBorder="true" applyAlignment="false" applyProtection="false">
      <alignment horizontal="general" vertical="bottom" textRotation="0" wrapText="false" indent="0" shrinkToFit="false"/>
      <protection locked="true" hidden="false"/>
    </xf>
    <xf numFmtId="167" fontId="5" fillId="0"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5" fontId="9" fillId="0"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false" applyProtection="false">
      <alignment horizontal="general" vertical="bottom" textRotation="0" wrapText="false" indent="0" shrinkToFit="false"/>
      <protection locked="true" hidden="false"/>
    </xf>
    <xf numFmtId="164" fontId="0" fillId="4" borderId="1" xfId="0" applyFont="false" applyBorder="true" applyAlignment="false" applyProtection="false">
      <alignment horizontal="general" vertical="bottom" textRotation="0" wrapText="false" indent="0" shrinkToFit="false"/>
      <protection locked="true" hidden="false"/>
    </xf>
    <xf numFmtId="166" fontId="8" fillId="4"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65" fontId="5" fillId="0" borderId="1" xfId="0" applyFont="true" applyBorder="true" applyAlignment="false" applyProtection="false">
      <alignment horizontal="general" vertical="bottom" textRotation="0" wrapText="false" indent="0" shrinkToFit="false"/>
      <protection locked="true" hidden="false"/>
    </xf>
    <xf numFmtId="168" fontId="5" fillId="0" borderId="1" xfId="0" applyFont="true" applyBorder="true" applyAlignment="false" applyProtection="false">
      <alignment horizontal="general" vertical="bottom" textRotation="0" wrapText="false" indent="0" shrinkToFit="false"/>
      <protection locked="true" hidden="false"/>
    </xf>
    <xf numFmtId="166" fontId="6" fillId="2" borderId="1" xfId="0" applyFont="true" applyBorder="true" applyAlignment="false" applyProtection="false">
      <alignment horizontal="general" vertical="bottom" textRotation="0" wrapText="false" indent="0" shrinkToFit="false"/>
      <protection locked="true" hidden="false"/>
    </xf>
    <xf numFmtId="164" fontId="5" fillId="5"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08000"/>
          <bgColor rgb="FF000000"/>
        </patternFill>
      </fill>
    </dxf>
    <dxf>
      <fill>
        <patternFill patternType="solid">
          <fgColor rgb="FFFCE4D6"/>
          <bgColor rgb="FF000000"/>
        </patternFill>
      </fill>
    </dxf>
    <dxf>
      <fill>
        <patternFill patternType="solid">
          <fgColor rgb="FFFFFF00"/>
          <bgColor rgb="FF000000"/>
        </patternFill>
      </fill>
    </dxf>
    <dxf>
      <fill>
        <patternFill patternType="solid">
          <fgColor rgb="FF0000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CE4D6"/>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2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9"/>
    <col collapsed="false" customWidth="true" hidden="false" outlineLevel="0" max="5" min="3" style="0" width="16"/>
    <col collapsed="false" customWidth="true" hidden="false" outlineLevel="0" max="6" min="6" style="0" width="8"/>
    <col collapsed="false" customWidth="true" hidden="false" outlineLevel="0" max="11" min="7" style="0" width="13"/>
    <col collapsed="false" customWidth="true" hidden="false" outlineLevel="0" max="13" min="12" style="0" width="9"/>
    <col collapsed="false" customWidth="true" hidden="false" outlineLevel="0" max="17" min="14" style="0" width="16"/>
    <col collapsed="false" customWidth="true" hidden="false" outlineLevel="0" max="19" min="18" style="0" width="12"/>
    <col collapsed="false" customWidth="true" hidden="false" outlineLevel="0" max="22" min="20" style="0" width="14"/>
    <col collapsed="false" customWidth="true" hidden="false" outlineLevel="0" max="23" min="23" style="0" width="60"/>
  </cols>
  <sheetData>
    <row r="1" customFormat="false" ht="17.35" hidden="false" customHeight="false" outlineLevel="0" collapsed="false">
      <c r="A1" s="1" t="s">
        <v>0</v>
      </c>
    </row>
    <row r="2" customFormat="false" ht="31.5" hidden="false" customHeight="true" outlineLevel="0" collapsed="false">
      <c r="A2" s="2" t="s">
        <v>1</v>
      </c>
      <c r="B2" s="2"/>
      <c r="C2" s="2"/>
      <c r="D2" s="2"/>
      <c r="E2" s="2"/>
      <c r="F2" s="2"/>
      <c r="G2" s="2"/>
      <c r="H2" s="2"/>
      <c r="I2" s="2"/>
      <c r="J2" s="2"/>
      <c r="K2" s="2"/>
      <c r="L2" s="2"/>
      <c r="M2" s="2"/>
      <c r="N2" s="2"/>
      <c r="O2" s="2"/>
      <c r="P2" s="2"/>
    </row>
    <row r="3" customFormat="false" ht="15" hidden="false" customHeight="false" outlineLevel="0" collapsed="false">
      <c r="A3" s="3" t="s">
        <v>2</v>
      </c>
      <c r="B3" s="4" t="n">
        <v>46301</v>
      </c>
    </row>
    <row r="4" customFormat="false" ht="15" hidden="false" customHeight="false" outlineLevel="0" collapsed="false">
      <c r="A4" s="3" t="s">
        <v>3</v>
      </c>
    </row>
    <row r="6" customFormat="false" ht="42" hidden="false" customHeight="true" outlineLevel="0" collapsed="false">
      <c r="A6" s="5" t="s">
        <v>4</v>
      </c>
      <c r="B6" s="5" t="s">
        <v>5</v>
      </c>
      <c r="C6" s="5" t="s">
        <v>6</v>
      </c>
      <c r="D6" s="5" t="s">
        <v>7</v>
      </c>
      <c r="E6" s="5" t="s">
        <v>8</v>
      </c>
      <c r="F6" s="5" t="s">
        <v>9</v>
      </c>
      <c r="G6" s="5" t="s">
        <v>10</v>
      </c>
      <c r="H6" s="5" t="s">
        <v>11</v>
      </c>
      <c r="I6" s="5" t="s">
        <v>12</v>
      </c>
      <c r="J6" s="5" t="s">
        <v>13</v>
      </c>
      <c r="K6" s="5" t="s">
        <v>14</v>
      </c>
      <c r="L6" s="5" t="s">
        <v>15</v>
      </c>
      <c r="M6" s="5" t="s">
        <v>16</v>
      </c>
      <c r="N6" s="5" t="s">
        <v>17</v>
      </c>
      <c r="O6" s="5" t="s">
        <v>18</v>
      </c>
      <c r="P6" s="5" t="s">
        <v>19</v>
      </c>
      <c r="Q6" s="5" t="s">
        <v>20</v>
      </c>
      <c r="R6" s="5" t="s">
        <v>21</v>
      </c>
      <c r="S6" s="5" t="s">
        <v>22</v>
      </c>
      <c r="T6" s="5" t="s">
        <v>23</v>
      </c>
      <c r="U6" s="5" t="s">
        <v>24</v>
      </c>
      <c r="V6" s="5" t="s">
        <v>25</v>
      </c>
      <c r="W6" s="5" t="s">
        <v>26</v>
      </c>
    </row>
    <row r="7" customFormat="false" ht="15" hidden="false" customHeight="false" outlineLevel="0" collapsed="false">
      <c r="A7" s="6" t="s">
        <v>27</v>
      </c>
      <c r="B7" s="7" t="s">
        <v>28</v>
      </c>
      <c r="C7" s="8" t="n">
        <f aca="false">SUMIFS(Detail!$H:$H,Detail!$A:$A,$A7)</f>
        <v>59991.62</v>
      </c>
      <c r="D7" s="8" t="n">
        <f aca="false">SUMIFS('Current Month'!$F:$F,'Current Month'!$A:$A,$A7)</f>
        <v>15586.87</v>
      </c>
      <c r="E7" s="9" t="n">
        <f aca="false">C7+D7</f>
        <v>75578.49</v>
      </c>
      <c r="F7" s="10" t="n">
        <f aca="false">COUNTIFS(Detail!$A:$A,$A7,Detail!$H:$H,"&lt;&gt;")</f>
        <v>50</v>
      </c>
      <c r="G7" s="8" t="n">
        <f aca="false">SUMIFS(Detail!$H:$H,Detail!$A:$A,$A7,Detail!$L:$L,"0-1 yrs")</f>
        <v>39767.62</v>
      </c>
      <c r="H7" s="8" t="n">
        <f aca="false">SUMIFS(Detail!$H:$H,Detail!$A:$A,$A7,Detail!$L:$L,"1-2 yrs")</f>
        <v>6244.96</v>
      </c>
      <c r="I7" s="8" t="n">
        <f aca="false">SUMIFS(Detail!$H:$H,Detail!$A:$A,$A7,Detail!$L:$L,"2-3 yrs")</f>
        <v>7179.74</v>
      </c>
      <c r="J7" s="8" t="n">
        <f aca="false">SUMIFS(Detail!$H:$H,Detail!$A:$A,$A7,Detail!$L:$L,"3-5 yrs")</f>
        <v>6799.3</v>
      </c>
      <c r="K7" s="8" t="n">
        <f aca="false">SUMIFS(Detail!$H:$H,Detail!$A:$A,$A7,Detail!$L:$L,"5+ yrs")</f>
        <v>0</v>
      </c>
      <c r="L7" s="11" t="n">
        <f aca="false">IFERROR(INDEX('State Rules'!$C$5:$C$11,MATCH($B7,'State Rules'!$A$5:$A$11,0)),"")</f>
        <v>1</v>
      </c>
      <c r="M7" s="11" t="n">
        <f aca="false">IFERROR(INDEX('State Rules'!$E$5:$E$11,MATCH($B7,'State Rules'!$A$5:$A$11,0)),"")</f>
        <v>3</v>
      </c>
      <c r="N7" s="8" t="n">
        <f aca="false">SUMIFS(Detail!$H:$H,Detail!$A:$A,$A7,Detail!$O:$O,"&lt;="&amp;$B$3)</f>
        <v>20224</v>
      </c>
      <c r="O7" s="8" t="n">
        <f aca="false">SUMIFS(Detail!$H:$H,Detail!$A:$A,$A7,Detail!$P:$P,"&lt;="&amp;$B$3)</f>
        <v>6799.3</v>
      </c>
      <c r="P7" s="8" t="n">
        <f aca="false">SUMIFS(Detail!$H:$H,Detail!$A:$A,$A7,Detail!$Q:$Q,"Yes")</f>
        <v>24578.99</v>
      </c>
      <c r="Q7" s="8" t="n">
        <f aca="false">SUMIFS(Detail!$H:$H,Detail!$A:$A,$A7,Detail!$R:$R,"Yes")</f>
        <v>8133.8</v>
      </c>
      <c r="R7" s="12" t="n">
        <f aca="false">IF(F7=0,"",_xlfn.MINIFS(Detail!$E$7:$E$400,Detail!$A$7:$A$400,$A7))</f>
        <v>44988</v>
      </c>
      <c r="S7" s="10" t="n">
        <f aca="false">COUNTIFS(Detail!$A:$A,$A7,Detail!$M:$M,"Memo flag*")</f>
        <v>11</v>
      </c>
      <c r="T7" s="8" t="n">
        <f aca="false">SUMIFS(Detail!$H:$H,Detail!$A:$A,$A7,Detail!$M:$M,"Memo flag*")</f>
        <v>27321.63</v>
      </c>
      <c r="U7" s="10" t="n">
        <f aca="false">COUNTIFS(Detail!$A:$A,$A7,Detail!$M:$M,"Recurring flat*")</f>
        <v>2</v>
      </c>
      <c r="V7" s="8" t="n">
        <f aca="false">SUMIFS(Detail!$H:$H,Detail!$A:$A,$A7,Detail!$M:$M,"Recurring flat*")</f>
        <v>1288</v>
      </c>
      <c r="W7" s="13" t="s">
        <v>29</v>
      </c>
    </row>
    <row r="8" customFormat="false" ht="15" hidden="false" customHeight="false" outlineLevel="0" collapsed="false">
      <c r="A8" s="6" t="s">
        <v>30</v>
      </c>
      <c r="B8" s="7" t="s">
        <v>28</v>
      </c>
      <c r="C8" s="8" t="n">
        <f aca="false">SUMIFS(Detail!$H:$H,Detail!$A:$A,$A8)</f>
        <v>76889.5</v>
      </c>
      <c r="D8" s="8" t="n">
        <f aca="false">SUMIFS('Current Month'!$F:$F,'Current Month'!$A:$A,$A8)</f>
        <v>10071.93</v>
      </c>
      <c r="E8" s="9" t="n">
        <f aca="false">C8+D8</f>
        <v>86961.43</v>
      </c>
      <c r="F8" s="10" t="n">
        <f aca="false">COUNTIFS(Detail!$A:$A,$A8,Detail!$H:$H,"&lt;&gt;")</f>
        <v>40</v>
      </c>
      <c r="G8" s="8" t="n">
        <f aca="false">SUMIFS(Detail!$H:$H,Detail!$A:$A,$A8,Detail!$L:$L,"0-1 yrs")</f>
        <v>26416.5</v>
      </c>
      <c r="H8" s="8" t="n">
        <f aca="false">SUMIFS(Detail!$H:$H,Detail!$A:$A,$A8,Detail!$L:$L,"1-2 yrs")</f>
        <v>35650.9</v>
      </c>
      <c r="I8" s="8" t="n">
        <f aca="false">SUMIFS(Detail!$H:$H,Detail!$A:$A,$A8,Detail!$L:$L,"2-3 yrs")</f>
        <v>9185.5</v>
      </c>
      <c r="J8" s="8" t="n">
        <f aca="false">SUMIFS(Detail!$H:$H,Detail!$A:$A,$A8,Detail!$L:$L,"3-5 yrs")</f>
        <v>5636.6</v>
      </c>
      <c r="K8" s="8" t="n">
        <f aca="false">SUMIFS(Detail!$H:$H,Detail!$A:$A,$A8,Detail!$L:$L,"5+ yrs")</f>
        <v>0</v>
      </c>
      <c r="L8" s="11" t="n">
        <f aca="false">IFERROR(INDEX('State Rules'!$C$5:$C$11,MATCH($B8,'State Rules'!$A$5:$A$11,0)),"")</f>
        <v>1</v>
      </c>
      <c r="M8" s="11" t="n">
        <f aca="false">IFERROR(INDEX('State Rules'!$E$5:$E$11,MATCH($B8,'State Rules'!$A$5:$A$11,0)),"")</f>
        <v>3</v>
      </c>
      <c r="N8" s="8" t="n">
        <f aca="false">SUMIFS(Detail!$H:$H,Detail!$A:$A,$A8,Detail!$O:$O,"&lt;="&amp;$B$3)</f>
        <v>50473</v>
      </c>
      <c r="O8" s="8" t="n">
        <f aca="false">SUMIFS(Detail!$H:$H,Detail!$A:$A,$A8,Detail!$P:$P,"&lt;="&amp;$B$3)</f>
        <v>5636.6</v>
      </c>
      <c r="P8" s="8" t="n">
        <f aca="false">SUMIFS(Detail!$H:$H,Detail!$A:$A,$A8,Detail!$Q:$Q,"Yes")</f>
        <v>51967</v>
      </c>
      <c r="Q8" s="8" t="n">
        <f aca="false">SUMIFS(Detail!$H:$H,Detail!$A:$A,$A8,Detail!$R:$R,"Yes")</f>
        <v>6011.6</v>
      </c>
      <c r="R8" s="12" t="n">
        <f aca="false">IF(F8=0,"",_xlfn.MINIFS(Detail!$E$7:$E$400,Detail!$A$7:$A$400,$A8))</f>
        <v>44592</v>
      </c>
      <c r="S8" s="10" t="n">
        <f aca="false">COUNTIFS(Detail!$A:$A,$A8,Detail!$M:$M,"Memo flag*")</f>
        <v>2</v>
      </c>
      <c r="T8" s="8" t="n">
        <f aca="false">SUMIFS(Detail!$H:$H,Detail!$A:$A,$A8,Detail!$M:$M,"Memo flag*")</f>
        <v>1875</v>
      </c>
      <c r="U8" s="10" t="n">
        <f aca="false">COUNTIFS(Detail!$A:$A,$A8,Detail!$M:$M,"Recurring flat*")</f>
        <v>7</v>
      </c>
      <c r="V8" s="8" t="n">
        <f aca="false">SUMIFS(Detail!$H:$H,Detail!$A:$A,$A8,Detail!$M:$M,"Recurring flat*")</f>
        <v>3615</v>
      </c>
      <c r="W8" s="13" t="s">
        <v>29</v>
      </c>
    </row>
    <row r="9" customFormat="false" ht="15" hidden="false" customHeight="false" outlineLevel="0" collapsed="false">
      <c r="A9" s="6" t="s">
        <v>31</v>
      </c>
      <c r="B9" s="7" t="s">
        <v>28</v>
      </c>
      <c r="C9" s="8" t="n">
        <f aca="false">SUMIFS(Detail!$H:$H,Detail!$A:$A,$A9)</f>
        <v>55528.45</v>
      </c>
      <c r="D9" s="8" t="n">
        <f aca="false">SUMIFS('Current Month'!$F:$F,'Current Month'!$A:$A,$A9)</f>
        <v>20054.2</v>
      </c>
      <c r="E9" s="9" t="n">
        <f aca="false">C9+D9</f>
        <v>75582.65</v>
      </c>
      <c r="F9" s="10" t="n">
        <f aca="false">COUNTIFS(Detail!$A:$A,$A9,Detail!$H:$H,"&lt;&gt;")</f>
        <v>50</v>
      </c>
      <c r="G9" s="8" t="n">
        <f aca="false">SUMIFS(Detail!$H:$H,Detail!$A:$A,$A9,Detail!$L:$L,"0-1 yrs")</f>
        <v>34473</v>
      </c>
      <c r="H9" s="8" t="n">
        <f aca="false">SUMIFS(Detail!$H:$H,Detail!$A:$A,$A9,Detail!$L:$L,"1-2 yrs")</f>
        <v>5539.51</v>
      </c>
      <c r="I9" s="8" t="n">
        <f aca="false">SUMIFS(Detail!$H:$H,Detail!$A:$A,$A9,Detail!$L:$L,"2-3 yrs")</f>
        <v>13657.94</v>
      </c>
      <c r="J9" s="8" t="n">
        <f aca="false">SUMIFS(Detail!$H:$H,Detail!$A:$A,$A9,Detail!$L:$L,"3-5 yrs")</f>
        <v>1858</v>
      </c>
      <c r="K9" s="8" t="n">
        <f aca="false">SUMIFS(Detail!$H:$H,Detail!$A:$A,$A9,Detail!$L:$L,"5+ yrs")</f>
        <v>0</v>
      </c>
      <c r="L9" s="11" t="n">
        <f aca="false">IFERROR(INDEX('State Rules'!$C$5:$C$11,MATCH($B9,'State Rules'!$A$5:$A$11,0)),"")</f>
        <v>1</v>
      </c>
      <c r="M9" s="11" t="n">
        <f aca="false">IFERROR(INDEX('State Rules'!$E$5:$E$11,MATCH($B9,'State Rules'!$A$5:$A$11,0)),"")</f>
        <v>3</v>
      </c>
      <c r="N9" s="8" t="n">
        <f aca="false">SUMIFS(Detail!$H:$H,Detail!$A:$A,$A9,Detail!$O:$O,"&lt;="&amp;$B$3)</f>
        <v>21055.45</v>
      </c>
      <c r="O9" s="8" t="n">
        <f aca="false">SUMIFS(Detail!$H:$H,Detail!$A:$A,$A9,Detail!$P:$P,"&lt;="&amp;$B$3)</f>
        <v>1858</v>
      </c>
      <c r="P9" s="8" t="n">
        <f aca="false">SUMIFS(Detail!$H:$H,Detail!$A:$A,$A9,Detail!$Q:$Q,"Yes")</f>
        <v>22601.95</v>
      </c>
      <c r="Q9" s="8" t="n">
        <f aca="false">SUMIFS(Detail!$H:$H,Detail!$A:$A,$A9,Detail!$R:$R,"Yes")</f>
        <v>4291.5</v>
      </c>
      <c r="R9" s="12" t="n">
        <f aca="false">IF(F9=0,"",_xlfn.MINIFS(Detail!$E$7:$E$400,Detail!$A$7:$A$400,$A9))</f>
        <v>44951</v>
      </c>
      <c r="S9" s="10" t="n">
        <f aca="false">COUNTIFS(Detail!$A:$A,$A9,Detail!$M:$M,"Memo flag*")</f>
        <v>3</v>
      </c>
      <c r="T9" s="8" t="n">
        <f aca="false">SUMIFS(Detail!$H:$H,Detail!$A:$A,$A9,Detail!$M:$M,"Memo flag*")</f>
        <v>1444</v>
      </c>
      <c r="U9" s="10" t="n">
        <f aca="false">COUNTIFS(Detail!$A:$A,$A9,Detail!$M:$M,"Recurring flat*")</f>
        <v>6</v>
      </c>
      <c r="V9" s="8" t="n">
        <f aca="false">SUMIFS(Detail!$H:$H,Detail!$A:$A,$A9,Detail!$M:$M,"Recurring flat*")</f>
        <v>3864</v>
      </c>
      <c r="W9" s="13" t="s">
        <v>32</v>
      </c>
    </row>
    <row r="10" customFormat="false" ht="15" hidden="false" customHeight="false" outlineLevel="0" collapsed="false">
      <c r="A10" s="6" t="s">
        <v>33</v>
      </c>
      <c r="B10" s="7" t="s">
        <v>34</v>
      </c>
      <c r="C10" s="8" t="n">
        <f aca="false">SUMIFS(Detail!$H:$H,Detail!$A:$A,$A10)</f>
        <v>0</v>
      </c>
      <c r="D10" s="8" t="n">
        <f aca="false">SUMIFS('Current Month'!$F:$F,'Current Month'!$A:$A,$A10)</f>
        <v>18345</v>
      </c>
      <c r="E10" s="9" t="n">
        <f aca="false">C10+D10</f>
        <v>18345</v>
      </c>
      <c r="F10" s="10" t="n">
        <f aca="false">COUNTIFS(Detail!$A:$A,$A10,Detail!$H:$H,"&lt;&gt;")</f>
        <v>0</v>
      </c>
      <c r="G10" s="8" t="n">
        <f aca="false">SUMIFS(Detail!$H:$H,Detail!$A:$A,$A10,Detail!$L:$L,"0-1 yrs")</f>
        <v>0</v>
      </c>
      <c r="H10" s="8" t="n">
        <f aca="false">SUMIFS(Detail!$H:$H,Detail!$A:$A,$A10,Detail!$L:$L,"1-2 yrs")</f>
        <v>0</v>
      </c>
      <c r="I10" s="8" t="n">
        <f aca="false">SUMIFS(Detail!$H:$H,Detail!$A:$A,$A10,Detail!$L:$L,"2-3 yrs")</f>
        <v>0</v>
      </c>
      <c r="J10" s="8" t="n">
        <f aca="false">SUMIFS(Detail!$H:$H,Detail!$A:$A,$A10,Detail!$L:$L,"3-5 yrs")</f>
        <v>0</v>
      </c>
      <c r="K10" s="8" t="n">
        <f aca="false">SUMIFS(Detail!$H:$H,Detail!$A:$A,$A10,Detail!$L:$L,"5+ yrs")</f>
        <v>0</v>
      </c>
      <c r="L10" s="11" t="n">
        <f aca="false">IFERROR(INDEX('State Rules'!$C$5:$C$11,MATCH($B10,'State Rules'!$A$5:$A$11,0)),"")</f>
        <v>1</v>
      </c>
      <c r="M10" s="11" t="n">
        <f aca="false">IFERROR(INDEX('State Rules'!$E$5:$E$11,MATCH($B10,'State Rules'!$A$5:$A$11,0)),"")</f>
        <v>3</v>
      </c>
      <c r="N10" s="8" t="n">
        <f aca="false">SUMIFS(Detail!$H:$H,Detail!$A:$A,$A10,Detail!$O:$O,"&lt;="&amp;$B$3)</f>
        <v>0</v>
      </c>
      <c r="O10" s="8" t="n">
        <f aca="false">SUMIFS(Detail!$H:$H,Detail!$A:$A,$A10,Detail!$P:$P,"&lt;="&amp;$B$3)</f>
        <v>0</v>
      </c>
      <c r="P10" s="8" t="n">
        <f aca="false">SUMIFS(Detail!$H:$H,Detail!$A:$A,$A10,Detail!$Q:$Q,"Yes")</f>
        <v>0</v>
      </c>
      <c r="Q10" s="8" t="n">
        <f aca="false">SUMIFS(Detail!$H:$H,Detail!$A:$A,$A10,Detail!$R:$R,"Yes")</f>
        <v>0</v>
      </c>
      <c r="R10" s="12" t="str">
        <f aca="false">IF(F10=0,"",_xlfn.MINIFS(Detail!$E$7:$E$400,Detail!$A$7:$A$400,$A10))</f>
        <v/>
      </c>
      <c r="S10" s="10" t="n">
        <f aca="false">COUNTIFS(Detail!$A:$A,$A10,Detail!$M:$M,"Memo flag*")</f>
        <v>0</v>
      </c>
      <c r="T10" s="8" t="n">
        <f aca="false">SUMIFS(Detail!$H:$H,Detail!$A:$A,$A10,Detail!$M:$M,"Memo flag*")</f>
        <v>0</v>
      </c>
      <c r="U10" s="10" t="n">
        <f aca="false">COUNTIFS(Detail!$A:$A,$A10,Detail!$M:$M,"Recurring flat*")</f>
        <v>0</v>
      </c>
      <c r="V10" s="8" t="n">
        <f aca="false">SUMIFS(Detail!$H:$H,Detail!$A:$A,$A10,Detail!$M:$M,"Recurring flat*")</f>
        <v>0</v>
      </c>
      <c r="W10" s="13" t="s">
        <v>35</v>
      </c>
    </row>
    <row r="11" customFormat="false" ht="15" hidden="false" customHeight="false" outlineLevel="0" collapsed="false">
      <c r="A11" s="6" t="s">
        <v>36</v>
      </c>
      <c r="B11" s="7" t="s">
        <v>37</v>
      </c>
      <c r="C11" s="8" t="n">
        <f aca="false">SUMIFS(Detail!$H:$H,Detail!$A:$A,$A11)</f>
        <v>29708.78</v>
      </c>
      <c r="D11" s="8" t="n">
        <f aca="false">SUMIFS('Current Month'!$F:$F,'Current Month'!$A:$A,$A11)</f>
        <v>49091.5</v>
      </c>
      <c r="E11" s="9" t="n">
        <f aca="false">C11+D11</f>
        <v>78800.28</v>
      </c>
      <c r="F11" s="10" t="n">
        <f aca="false">COUNTIFS(Detail!$A:$A,$A11,Detail!$H:$H,"&lt;&gt;")</f>
        <v>34</v>
      </c>
      <c r="G11" s="8" t="n">
        <f aca="false">SUMIFS(Detail!$H:$H,Detail!$A:$A,$A11,Detail!$L:$L,"0-1 yrs")</f>
        <v>8931.12</v>
      </c>
      <c r="H11" s="8" t="n">
        <f aca="false">SUMIFS(Detail!$H:$H,Detail!$A:$A,$A11,Detail!$L:$L,"1-2 yrs")</f>
        <v>10077.25</v>
      </c>
      <c r="I11" s="8" t="n">
        <f aca="false">SUMIFS(Detail!$H:$H,Detail!$A:$A,$A11,Detail!$L:$L,"2-3 yrs")</f>
        <v>10281.06</v>
      </c>
      <c r="J11" s="8" t="n">
        <f aca="false">SUMIFS(Detail!$H:$H,Detail!$A:$A,$A11,Detail!$L:$L,"3-5 yrs")</f>
        <v>419.35</v>
      </c>
      <c r="K11" s="8" t="n">
        <f aca="false">SUMIFS(Detail!$H:$H,Detail!$A:$A,$A11,Detail!$L:$L,"5+ yrs")</f>
        <v>0</v>
      </c>
      <c r="L11" s="11" t="n">
        <f aca="false">IFERROR(INDEX('State Rules'!$C$5:$C$11,MATCH($B11,'State Rules'!$A$5:$A$11,0)),"")</f>
        <v>2</v>
      </c>
      <c r="M11" s="11" t="n">
        <f aca="false">IFERROR(INDEX('State Rules'!$E$5:$E$11,MATCH($B11,'State Rules'!$A$5:$A$11,0)),"")</f>
        <v>3</v>
      </c>
      <c r="N11" s="8" t="n">
        <f aca="false">SUMIFS(Detail!$H:$H,Detail!$A:$A,$A11,Detail!$O:$O,"&lt;="&amp;$B$3)</f>
        <v>10700.41</v>
      </c>
      <c r="O11" s="8" t="n">
        <f aca="false">SUMIFS(Detail!$H:$H,Detail!$A:$A,$A11,Detail!$P:$P,"&lt;="&amp;$B$3)</f>
        <v>419.35</v>
      </c>
      <c r="P11" s="8" t="n">
        <f aca="false">SUMIFS(Detail!$H:$H,Detail!$A:$A,$A11,Detail!$Q:$Q,"Yes")</f>
        <v>15548.66</v>
      </c>
      <c r="Q11" s="8" t="n">
        <f aca="false">SUMIFS(Detail!$H:$H,Detail!$A:$A,$A11,Detail!$R:$R,"Yes")</f>
        <v>419.35</v>
      </c>
      <c r="R11" s="12" t="n">
        <f aca="false">IF(F11=0,"",_xlfn.MINIFS(Detail!$E$7:$E$400,Detail!$A$7:$A$400,$A11))</f>
        <v>45175</v>
      </c>
      <c r="S11" s="10" t="n">
        <f aca="false">COUNTIFS(Detail!$A:$A,$A11,Detail!$M:$M,"Memo flag*")</f>
        <v>0</v>
      </c>
      <c r="T11" s="8" t="n">
        <f aca="false">SUMIFS(Detail!$H:$H,Detail!$A:$A,$A11,Detail!$M:$M,"Memo flag*")</f>
        <v>0</v>
      </c>
      <c r="U11" s="10" t="n">
        <f aca="false">COUNTIFS(Detail!$A:$A,$A11,Detail!$M:$M,"Recurring flat*")</f>
        <v>11</v>
      </c>
      <c r="V11" s="8" t="n">
        <f aca="false">SUMIFS(Detail!$H:$H,Detail!$A:$A,$A11,Detail!$M:$M,"Recurring flat*")</f>
        <v>5302</v>
      </c>
      <c r="W11" s="13" t="s">
        <v>38</v>
      </c>
    </row>
    <row r="12" customFormat="false" ht="23.85" hidden="false" customHeight="false" outlineLevel="0" collapsed="false">
      <c r="A12" s="6" t="s">
        <v>39</v>
      </c>
      <c r="B12" s="7" t="s">
        <v>40</v>
      </c>
      <c r="C12" s="8" t="n">
        <f aca="false">SUMIFS(Detail!$H:$H,Detail!$A:$A,$A12)</f>
        <v>4001.11</v>
      </c>
      <c r="D12" s="8" t="n">
        <f aca="false">SUMIFS('Current Month'!$F:$F,'Current Month'!$A:$A,$A12)</f>
        <v>0</v>
      </c>
      <c r="E12" s="9" t="n">
        <f aca="false">C12+D12</f>
        <v>4001.11</v>
      </c>
      <c r="F12" s="10" t="n">
        <f aca="false">COUNTIFS(Detail!$A:$A,$A12,Detail!$H:$H,"&lt;&gt;")</f>
        <v>4</v>
      </c>
      <c r="G12" s="8" t="n">
        <f aca="false">SUMIFS(Detail!$H:$H,Detail!$A:$A,$A12,Detail!$L:$L,"0-1 yrs")</f>
        <v>4001.11</v>
      </c>
      <c r="H12" s="8" t="n">
        <f aca="false">SUMIFS(Detail!$H:$H,Detail!$A:$A,$A12,Detail!$L:$L,"1-2 yrs")</f>
        <v>0</v>
      </c>
      <c r="I12" s="8" t="n">
        <f aca="false">SUMIFS(Detail!$H:$H,Detail!$A:$A,$A12,Detail!$L:$L,"2-3 yrs")</f>
        <v>0</v>
      </c>
      <c r="J12" s="8" t="n">
        <f aca="false">SUMIFS(Detail!$H:$H,Detail!$A:$A,$A12,Detail!$L:$L,"3-5 yrs")</f>
        <v>0</v>
      </c>
      <c r="K12" s="8" t="n">
        <f aca="false">SUMIFS(Detail!$H:$H,Detail!$A:$A,$A12,Detail!$L:$L,"5+ yrs")</f>
        <v>0</v>
      </c>
      <c r="L12" s="11" t="n">
        <f aca="false">IFERROR(INDEX('State Rules'!$C$5:$C$11,MATCH($B12,'State Rules'!$A$5:$A$11,0)),"")</f>
        <v>1</v>
      </c>
      <c r="M12" s="11" t="n">
        <f aca="false">IFERROR(INDEX('State Rules'!$E$5:$E$11,MATCH($B12,'State Rules'!$A$5:$A$11,0)),"")</f>
        <v>5</v>
      </c>
      <c r="N12" s="8" t="n">
        <f aca="false">SUMIFS(Detail!$H:$H,Detail!$A:$A,$A12,Detail!$O:$O,"&lt;="&amp;$B$3)</f>
        <v>0</v>
      </c>
      <c r="O12" s="8" t="n">
        <f aca="false">SUMIFS(Detail!$H:$H,Detail!$A:$A,$A12,Detail!$P:$P,"&lt;="&amp;$B$3)</f>
        <v>0</v>
      </c>
      <c r="P12" s="8" t="n">
        <f aca="false">SUMIFS(Detail!$H:$H,Detail!$A:$A,$A12,Detail!$Q:$Q,"Yes")</f>
        <v>0</v>
      </c>
      <c r="Q12" s="8" t="n">
        <f aca="false">SUMIFS(Detail!$H:$H,Detail!$A:$A,$A12,Detail!$R:$R,"Yes")</f>
        <v>0</v>
      </c>
      <c r="R12" s="12" t="n">
        <f aca="false">IF(F12=0,"",_xlfn.MINIFS(Detail!$E$7:$E$400,Detail!$A$7:$A$400,$A12))</f>
        <v>46156</v>
      </c>
      <c r="S12" s="10" t="n">
        <f aca="false">COUNTIFS(Detail!$A:$A,$A12,Detail!$M:$M,"Memo flag*")</f>
        <v>0</v>
      </c>
      <c r="T12" s="8" t="n">
        <f aca="false">SUMIFS(Detail!$H:$H,Detail!$A:$A,$A12,Detail!$M:$M,"Memo flag*")</f>
        <v>0</v>
      </c>
      <c r="U12" s="10" t="n">
        <f aca="false">COUNTIFS(Detail!$A:$A,$A12,Detail!$M:$M,"Recurring flat*")</f>
        <v>0</v>
      </c>
      <c r="V12" s="8" t="n">
        <f aca="false">SUMIFS(Detail!$H:$H,Detail!$A:$A,$A12,Detail!$M:$M,"Recurring flat*")</f>
        <v>0</v>
      </c>
      <c r="W12" s="13" t="s">
        <v>41</v>
      </c>
    </row>
    <row r="13" customFormat="false" ht="35.05" hidden="false" customHeight="false" outlineLevel="0" collapsed="false">
      <c r="A13" s="6" t="s">
        <v>42</v>
      </c>
      <c r="B13" s="7" t="s">
        <v>43</v>
      </c>
      <c r="C13" s="8" t="n">
        <f aca="false">SUMIFS(Detail!$H:$H,Detail!$A:$A,$A13)</f>
        <v>645</v>
      </c>
      <c r="D13" s="8" t="n">
        <f aca="false">SUMIFS('Current Month'!$F:$F,'Current Month'!$A:$A,$A13)</f>
        <v>31392.5</v>
      </c>
      <c r="E13" s="9" t="n">
        <f aca="false">C13+D13</f>
        <v>32037.5</v>
      </c>
      <c r="F13" s="10" t="n">
        <f aca="false">COUNTIFS(Detail!$A:$A,$A13,Detail!$H:$H,"&lt;&gt;")</f>
        <v>3</v>
      </c>
      <c r="G13" s="8" t="n">
        <f aca="false">SUMIFS(Detail!$H:$H,Detail!$A:$A,$A13,Detail!$L:$L,"0-1 yrs")</f>
        <v>645</v>
      </c>
      <c r="H13" s="8" t="n">
        <f aca="false">SUMIFS(Detail!$H:$H,Detail!$A:$A,$A13,Detail!$L:$L,"1-2 yrs")</f>
        <v>0</v>
      </c>
      <c r="I13" s="8" t="n">
        <f aca="false">SUMIFS(Detail!$H:$H,Detail!$A:$A,$A13,Detail!$L:$L,"2-3 yrs")</f>
        <v>0</v>
      </c>
      <c r="J13" s="8" t="n">
        <f aca="false">SUMIFS(Detail!$H:$H,Detail!$A:$A,$A13,Detail!$L:$L,"3-5 yrs")</f>
        <v>0</v>
      </c>
      <c r="K13" s="8" t="n">
        <f aca="false">SUMIFS(Detail!$H:$H,Detail!$A:$A,$A13,Detail!$L:$L,"5+ yrs")</f>
        <v>0</v>
      </c>
      <c r="L13" s="11" t="n">
        <f aca="false">IFERROR(INDEX('State Rules'!$C$5:$C$11,MATCH($B13,'State Rules'!$A$5:$A$11,0)),"")</f>
        <v>1</v>
      </c>
      <c r="M13" s="11" t="n">
        <f aca="false">IFERROR(INDEX('State Rules'!$E$5:$E$11,MATCH($B13,'State Rules'!$A$5:$A$11,0)),"")</f>
        <v>3</v>
      </c>
      <c r="N13" s="8" t="n">
        <f aca="false">SUMIFS(Detail!$H:$H,Detail!$A:$A,$A13,Detail!$O:$O,"&lt;="&amp;$B$3)</f>
        <v>0</v>
      </c>
      <c r="O13" s="8" t="n">
        <f aca="false">SUMIFS(Detail!$H:$H,Detail!$A:$A,$A13,Detail!$P:$P,"&lt;="&amp;$B$3)</f>
        <v>0</v>
      </c>
      <c r="P13" s="8" t="n">
        <f aca="false">SUMIFS(Detail!$H:$H,Detail!$A:$A,$A13,Detail!$Q:$Q,"Yes")</f>
        <v>545</v>
      </c>
      <c r="Q13" s="8" t="n">
        <f aca="false">SUMIFS(Detail!$H:$H,Detail!$A:$A,$A13,Detail!$R:$R,"Yes")</f>
        <v>0</v>
      </c>
      <c r="R13" s="12" t="n">
        <f aca="false">IF(F13=0,"",_xlfn.MINIFS(Detail!$E$7:$E$400,Detail!$A$7:$A$400,$A13))</f>
        <v>46113</v>
      </c>
      <c r="S13" s="10" t="n">
        <f aca="false">COUNTIFS(Detail!$A:$A,$A13,Detail!$M:$M,"Memo flag*")</f>
        <v>0</v>
      </c>
      <c r="T13" s="8" t="n">
        <f aca="false">SUMIFS(Detail!$H:$H,Detail!$A:$A,$A13,Detail!$M:$M,"Memo flag*")</f>
        <v>0</v>
      </c>
      <c r="U13" s="10" t="n">
        <f aca="false">COUNTIFS(Detail!$A:$A,$A13,Detail!$M:$M,"Recurring flat*")</f>
        <v>0</v>
      </c>
      <c r="V13" s="8" t="n">
        <f aca="false">SUMIFS(Detail!$H:$H,Detail!$A:$A,$A13,Detail!$M:$M,"Recurring flat*")</f>
        <v>0</v>
      </c>
      <c r="W13" s="13" t="s">
        <v>44</v>
      </c>
    </row>
    <row r="14" customFormat="false" ht="23.85" hidden="false" customHeight="false" outlineLevel="0" collapsed="false">
      <c r="A14" s="6" t="s">
        <v>45</v>
      </c>
      <c r="B14" s="7" t="s">
        <v>45</v>
      </c>
      <c r="C14" s="8" t="n">
        <f aca="false">SUMIFS(Detail!$H:$H,Detail!$A:$A,$A14)</f>
        <v>0</v>
      </c>
      <c r="D14" s="8" t="n">
        <f aca="false">SUMIFS('Current Month'!$F:$F,'Current Month'!$A:$A,$A14)</f>
        <v>0</v>
      </c>
      <c r="E14" s="9" t="n">
        <f aca="false">C14+D14</f>
        <v>0</v>
      </c>
      <c r="F14" s="10" t="n">
        <f aca="false">COUNTIFS(Detail!$A:$A,$A14,Detail!$H:$H,"&lt;&gt;")</f>
        <v>0</v>
      </c>
      <c r="G14" s="8" t="n">
        <f aca="false">SUMIFS(Detail!$H:$H,Detail!$A:$A,$A14,Detail!$L:$L,"0-1 yrs")</f>
        <v>0</v>
      </c>
      <c r="H14" s="8" t="n">
        <f aca="false">SUMIFS(Detail!$H:$H,Detail!$A:$A,$A14,Detail!$L:$L,"1-2 yrs")</f>
        <v>0</v>
      </c>
      <c r="I14" s="8" t="n">
        <f aca="false">SUMIFS(Detail!$H:$H,Detail!$A:$A,$A14,Detail!$L:$L,"2-3 yrs")</f>
        <v>0</v>
      </c>
      <c r="J14" s="8" t="n">
        <f aca="false">SUMIFS(Detail!$H:$H,Detail!$A:$A,$A14,Detail!$L:$L,"3-5 yrs")</f>
        <v>0</v>
      </c>
      <c r="K14" s="8" t="n">
        <f aca="false">SUMIFS(Detail!$H:$H,Detail!$A:$A,$A14,Detail!$L:$L,"5+ yrs")</f>
        <v>0</v>
      </c>
      <c r="L14" s="11" t="n">
        <f aca="false">IFERROR(INDEX('State Rules'!$C$5:$C$11,MATCH($B14,'State Rules'!$A$5:$A$11,0)),"")</f>
        <v>0</v>
      </c>
      <c r="M14" s="11" t="n">
        <f aca="false">IFERROR(INDEX('State Rules'!$E$5:$E$11,MATCH($B14,'State Rules'!$A$5:$A$11,0)),"")</f>
        <v>0</v>
      </c>
      <c r="N14" s="8" t="n">
        <f aca="false">SUMIFS(Detail!$H:$H,Detail!$A:$A,$A14,Detail!$O:$O,"&lt;="&amp;$B$3)</f>
        <v>0</v>
      </c>
      <c r="O14" s="8" t="n">
        <f aca="false">SUMIFS(Detail!$H:$H,Detail!$A:$A,$A14,Detail!$P:$P,"&lt;="&amp;$B$3)</f>
        <v>0</v>
      </c>
      <c r="P14" s="8" t="n">
        <f aca="false">SUMIFS(Detail!$H:$H,Detail!$A:$A,$A14,Detail!$Q:$Q,"Yes")</f>
        <v>0</v>
      </c>
      <c r="Q14" s="8" t="n">
        <f aca="false">SUMIFS(Detail!$H:$H,Detail!$A:$A,$A14,Detail!$R:$R,"Yes")</f>
        <v>0</v>
      </c>
      <c r="R14" s="12" t="str">
        <f aca="false">IF(F14=0,"",_xlfn.MINIFS(Detail!$E$7:$E$400,Detail!$A$7:$A$400,$A14))</f>
        <v/>
      </c>
      <c r="S14" s="10" t="n">
        <f aca="false">COUNTIFS(Detail!$A:$A,$A14,Detail!$M:$M,"Memo flag*")</f>
        <v>0</v>
      </c>
      <c r="T14" s="8" t="n">
        <f aca="false">SUMIFS(Detail!$H:$H,Detail!$A:$A,$A14,Detail!$M:$M,"Memo flag*")</f>
        <v>0</v>
      </c>
      <c r="U14" s="10" t="n">
        <f aca="false">COUNTIFS(Detail!$A:$A,$A14,Detail!$M:$M,"Recurring flat*")</f>
        <v>0</v>
      </c>
      <c r="V14" s="8" t="n">
        <f aca="false">SUMIFS(Detail!$H:$H,Detail!$A:$A,$A14,Detail!$M:$M,"Recurring flat*")</f>
        <v>0</v>
      </c>
      <c r="W14" s="13" t="s">
        <v>46</v>
      </c>
    </row>
    <row r="15" customFormat="false" ht="15" hidden="false" customHeight="false" outlineLevel="0" collapsed="false">
      <c r="A15" s="14" t="s">
        <v>47</v>
      </c>
      <c r="B15" s="15"/>
      <c r="C15" s="16" t="n">
        <f aca="false">SUM(C7:C14)</f>
        <v>226764.46</v>
      </c>
      <c r="D15" s="16" t="n">
        <f aca="false">SUM(D7:D14)</f>
        <v>144542</v>
      </c>
      <c r="E15" s="16" t="n">
        <f aca="false">SUM(E7:E14)</f>
        <v>371306.46</v>
      </c>
      <c r="F15" s="14" t="n">
        <f aca="false">SUM(F7:F14)</f>
        <v>181</v>
      </c>
      <c r="G15" s="16" t="n">
        <f aca="false">SUM(G7:G14)</f>
        <v>114234.35</v>
      </c>
      <c r="H15" s="16" t="n">
        <f aca="false">SUM(H7:H14)</f>
        <v>57512.62</v>
      </c>
      <c r="I15" s="16" t="n">
        <f aca="false">SUM(I7:I14)</f>
        <v>40304.24</v>
      </c>
      <c r="J15" s="16" t="n">
        <f aca="false">SUM(J7:J14)</f>
        <v>14713.25</v>
      </c>
      <c r="K15" s="16" t="n">
        <f aca="false">SUM(K7:K14)</f>
        <v>0</v>
      </c>
      <c r="L15" s="15"/>
      <c r="M15" s="15"/>
      <c r="N15" s="16" t="n">
        <f aca="false">SUM(N7:N14)</f>
        <v>102452.86</v>
      </c>
      <c r="O15" s="16" t="n">
        <f aca="false">SUM(O7:O14)</f>
        <v>14713.25</v>
      </c>
      <c r="P15" s="16" t="n">
        <f aca="false">SUM(P7:P14)</f>
        <v>115241.6</v>
      </c>
      <c r="Q15" s="16" t="n">
        <f aca="false">SUM(Q7:Q14)</f>
        <v>18856.25</v>
      </c>
      <c r="R15" s="15"/>
      <c r="S15" s="14" t="n">
        <f aca="false">SUM(S7:S14)</f>
        <v>16</v>
      </c>
      <c r="T15" s="16" t="n">
        <f aca="false">SUM(T7:T14)</f>
        <v>30640.63</v>
      </c>
      <c r="U15" s="14" t="n">
        <f aca="false">SUM(U7:U14)</f>
        <v>26</v>
      </c>
      <c r="V15" s="16" t="n">
        <f aca="false">SUM(V7:V14)</f>
        <v>14069</v>
      </c>
      <c r="W15" s="15"/>
    </row>
    <row r="17" customFormat="false" ht="15.75" hidden="false" customHeight="true" outlineLevel="0" collapsed="false">
      <c r="A17" s="17" t="s">
        <v>48</v>
      </c>
      <c r="B17" s="17"/>
      <c r="C17" s="17"/>
      <c r="D17" s="17"/>
      <c r="E17" s="17"/>
      <c r="F17" s="17"/>
      <c r="G17" s="17"/>
      <c r="H17" s="17"/>
      <c r="I17" s="17"/>
      <c r="J17" s="17"/>
      <c r="K17" s="17"/>
      <c r="L17" s="17"/>
      <c r="M17" s="17"/>
      <c r="N17" s="17"/>
      <c r="O17" s="17"/>
      <c r="P17" s="17"/>
    </row>
    <row r="18" customFormat="false" ht="43.5" hidden="false" customHeight="true" outlineLevel="0" collapsed="false">
      <c r="A18" s="2" t="s">
        <v>49</v>
      </c>
      <c r="B18" s="2"/>
      <c r="C18" s="2"/>
      <c r="D18" s="2"/>
      <c r="E18" s="2"/>
      <c r="F18" s="2"/>
      <c r="G18" s="2"/>
      <c r="H18" s="2"/>
      <c r="I18" s="2"/>
      <c r="J18" s="2"/>
      <c r="K18" s="2"/>
      <c r="L18" s="2"/>
      <c r="M18" s="2"/>
      <c r="N18" s="2"/>
      <c r="O18" s="2"/>
      <c r="P18" s="2"/>
    </row>
    <row r="19" customFormat="false" ht="43.5" hidden="false" customHeight="true" outlineLevel="0" collapsed="false">
      <c r="A19" s="2" t="s">
        <v>50</v>
      </c>
      <c r="B19" s="2"/>
      <c r="C19" s="2"/>
      <c r="D19" s="2"/>
      <c r="E19" s="2"/>
      <c r="F19" s="2"/>
      <c r="G19" s="2"/>
      <c r="H19" s="2"/>
      <c r="I19" s="2"/>
      <c r="J19" s="2"/>
      <c r="K19" s="2"/>
      <c r="L19" s="2"/>
      <c r="M19" s="2"/>
      <c r="N19" s="2"/>
      <c r="O19" s="2"/>
      <c r="P19" s="2"/>
    </row>
    <row r="20" customFormat="false" ht="43.5" hidden="false" customHeight="true" outlineLevel="0" collapsed="false">
      <c r="A20" s="2" t="s">
        <v>51</v>
      </c>
      <c r="B20" s="2"/>
      <c r="C20" s="2"/>
      <c r="D20" s="2"/>
      <c r="E20" s="2"/>
      <c r="F20" s="2"/>
      <c r="G20" s="2"/>
      <c r="H20" s="2"/>
      <c r="I20" s="2"/>
      <c r="J20" s="2"/>
      <c r="K20" s="2"/>
      <c r="L20" s="2"/>
      <c r="M20" s="2"/>
      <c r="N20" s="2"/>
      <c r="O20" s="2"/>
      <c r="P20" s="2"/>
    </row>
    <row r="21" customFormat="false" ht="43.5" hidden="false" customHeight="true" outlineLevel="0" collapsed="false">
      <c r="A21" s="2" t="s">
        <v>52</v>
      </c>
      <c r="B21" s="2"/>
      <c r="C21" s="2"/>
      <c r="D21" s="2"/>
      <c r="E21" s="2"/>
      <c r="F21" s="2"/>
      <c r="G21" s="2"/>
      <c r="H21" s="2"/>
      <c r="I21" s="2"/>
      <c r="J21" s="2"/>
      <c r="K21" s="2"/>
      <c r="L21" s="2"/>
      <c r="M21" s="2"/>
      <c r="N21" s="2"/>
      <c r="O21" s="2"/>
      <c r="P21" s="2"/>
    </row>
    <row r="22" customFormat="false" ht="43.5" hidden="false" customHeight="true" outlineLevel="0" collapsed="false">
      <c r="A22" s="2" t="s">
        <v>53</v>
      </c>
      <c r="B22" s="2"/>
      <c r="C22" s="2"/>
      <c r="D22" s="2"/>
      <c r="E22" s="2"/>
      <c r="F22" s="2"/>
      <c r="G22" s="2"/>
      <c r="H22" s="2"/>
      <c r="I22" s="2"/>
      <c r="J22" s="2"/>
      <c r="K22" s="2"/>
      <c r="L22" s="2"/>
      <c r="M22" s="2"/>
      <c r="N22" s="2"/>
      <c r="O22" s="2"/>
      <c r="P22" s="2"/>
    </row>
  </sheetData>
  <mergeCells count="7">
    <mergeCell ref="A2:P2"/>
    <mergeCell ref="A17:P17"/>
    <mergeCell ref="A18:P18"/>
    <mergeCell ref="A19:P19"/>
    <mergeCell ref="A20:P20"/>
    <mergeCell ref="A21:P21"/>
    <mergeCell ref="A22:P2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18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6" topLeftCell="E7" activePane="bottomRight" state="frozen"/>
      <selection pane="topLeft" activeCell="A1" activeCellId="0" sqref="A1"/>
      <selection pane="topRight" activeCell="E1" activeCellId="0" sqref="E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2" min="2" style="0" width="7"/>
    <col collapsed="false" customWidth="true" hidden="false" outlineLevel="0" max="3" min="3" style="0" width="13"/>
    <col collapsed="false" customWidth="true" hidden="false" outlineLevel="0" max="4" min="4" style="0" width="8"/>
    <col collapsed="false" customWidth="true" hidden="false" outlineLevel="0" max="5" min="5" style="0" width="11"/>
    <col collapsed="false" customWidth="true" hidden="false" outlineLevel="0" max="6" min="6" style="0" width="14"/>
    <col collapsed="false" customWidth="true" hidden="false" outlineLevel="0" max="7" min="7" style="0" width="32"/>
    <col collapsed="false" customWidth="true" hidden="false" outlineLevel="0" max="8" min="8" style="0" width="12"/>
    <col collapsed="false" customWidth="true" hidden="false" outlineLevel="0" max="9" min="9" style="0" width="55"/>
    <col collapsed="false" customWidth="true" hidden="false" outlineLevel="0" max="11" min="10" style="0" width="8"/>
    <col collapsed="false" customWidth="true" hidden="false" outlineLevel="0" max="12" min="12" style="0" width="9"/>
    <col collapsed="false" customWidth="true" hidden="false" outlineLevel="0" max="13" min="13" style="0" width="30"/>
    <col collapsed="false" customWidth="true" hidden="false" outlineLevel="0" max="14" min="14" style="0" width="8"/>
    <col collapsed="false" customWidth="true" hidden="false" outlineLevel="0" max="16" min="15" style="0" width="12"/>
    <col collapsed="false" customWidth="true" hidden="false" outlineLevel="0" max="18" min="17" style="0" width="11"/>
    <col collapsed="false" customWidth="true" hidden="false" outlineLevel="0" max="19" min="19" style="0" width="22"/>
    <col collapsed="false" customWidth="true" hidden="false" outlineLevel="0" max="20" min="20" style="0" width="10"/>
    <col collapsed="false" customWidth="true" hidden="false" outlineLevel="0" max="23" min="21" style="0" width="13"/>
    <col collapsed="false" customWidth="true" hidden="false" outlineLevel="0" max="24" min="24" style="0" width="28"/>
    <col collapsed="false" customWidth="true" hidden="false" outlineLevel="0" max="25" min="25" style="0" width="16"/>
  </cols>
  <sheetData>
    <row r="1" customFormat="false" ht="17.35" hidden="false" customHeight="false" outlineLevel="0" collapsed="false">
      <c r="A1" s="1" t="s">
        <v>54</v>
      </c>
    </row>
    <row r="2" customFormat="false" ht="31.5" hidden="false" customHeight="true" outlineLevel="0" collapsed="false">
      <c r="A2" s="2" t="s">
        <v>55</v>
      </c>
      <c r="B2" s="2"/>
      <c r="C2" s="2"/>
      <c r="D2" s="2"/>
      <c r="E2" s="2"/>
      <c r="F2" s="2"/>
      <c r="G2" s="2"/>
      <c r="H2" s="2"/>
      <c r="I2" s="2"/>
      <c r="J2" s="2"/>
      <c r="K2" s="2"/>
      <c r="L2" s="2"/>
      <c r="M2" s="2"/>
      <c r="N2" s="2"/>
      <c r="O2" s="2"/>
      <c r="P2" s="2"/>
      <c r="Q2" s="2"/>
      <c r="R2" s="2"/>
      <c r="S2" s="2"/>
      <c r="T2" s="2"/>
      <c r="U2" s="2"/>
      <c r="V2" s="2"/>
      <c r="W2" s="2"/>
      <c r="X2" s="2"/>
      <c r="Y2" s="2"/>
    </row>
    <row r="3" customFormat="false" ht="31.5" hidden="false" customHeight="true" outlineLevel="0" collapsed="false">
      <c r="A3" s="2" t="s">
        <v>56</v>
      </c>
      <c r="B3" s="2"/>
      <c r="C3" s="2"/>
      <c r="D3" s="2"/>
      <c r="E3" s="2"/>
      <c r="F3" s="2"/>
      <c r="G3" s="2"/>
      <c r="H3" s="2"/>
      <c r="I3" s="2"/>
      <c r="J3" s="2"/>
      <c r="K3" s="2"/>
      <c r="L3" s="2"/>
      <c r="M3" s="2"/>
      <c r="N3" s="2"/>
      <c r="O3" s="2"/>
      <c r="P3" s="2"/>
      <c r="Q3" s="2"/>
      <c r="R3" s="2"/>
      <c r="S3" s="2"/>
      <c r="T3" s="2"/>
      <c r="U3" s="2"/>
      <c r="V3" s="2"/>
      <c r="W3" s="2"/>
      <c r="X3" s="2"/>
      <c r="Y3" s="2"/>
    </row>
    <row r="4" customFormat="false" ht="15" hidden="false" customHeight="false" outlineLevel="0" collapsed="false">
      <c r="A4" s="3" t="s">
        <v>57</v>
      </c>
      <c r="B4" s="18" t="n">
        <f aca="false">Summary!$B$3</f>
        <v>46301</v>
      </c>
    </row>
    <row r="6" customFormat="false" ht="42" hidden="false" customHeight="true" outlineLevel="0" collapsed="false">
      <c r="A6" s="5" t="s">
        <v>4</v>
      </c>
      <c r="B6" s="5" t="s">
        <v>58</v>
      </c>
      <c r="C6" s="5" t="s">
        <v>59</v>
      </c>
      <c r="D6" s="5" t="s">
        <v>60</v>
      </c>
      <c r="E6" s="5" t="s">
        <v>61</v>
      </c>
      <c r="F6" s="5" t="s">
        <v>62</v>
      </c>
      <c r="G6" s="5" t="s">
        <v>63</v>
      </c>
      <c r="H6" s="5" t="s">
        <v>64</v>
      </c>
      <c r="I6" s="5" t="s">
        <v>65</v>
      </c>
      <c r="J6" s="5" t="s">
        <v>66</v>
      </c>
      <c r="K6" s="5" t="s">
        <v>67</v>
      </c>
      <c r="L6" s="5" t="s">
        <v>68</v>
      </c>
      <c r="M6" s="5" t="s">
        <v>69</v>
      </c>
      <c r="N6" s="5" t="s">
        <v>15</v>
      </c>
      <c r="O6" s="5" t="s">
        <v>70</v>
      </c>
      <c r="P6" s="5" t="s">
        <v>71</v>
      </c>
      <c r="Q6" s="5" t="s">
        <v>72</v>
      </c>
      <c r="R6" s="5" t="s">
        <v>73</v>
      </c>
      <c r="S6" s="5" t="s">
        <v>74</v>
      </c>
      <c r="T6" s="5" t="s">
        <v>75</v>
      </c>
      <c r="U6" s="5" t="s">
        <v>76</v>
      </c>
      <c r="V6" s="5" t="s">
        <v>77</v>
      </c>
      <c r="W6" s="5" t="s">
        <v>78</v>
      </c>
      <c r="X6" s="5" t="s">
        <v>79</v>
      </c>
      <c r="Y6" s="5" t="s">
        <v>80</v>
      </c>
    </row>
    <row r="7" customFormat="false" ht="15" hidden="false" customHeight="false" outlineLevel="0" collapsed="false">
      <c r="A7" s="10" t="s">
        <v>27</v>
      </c>
      <c r="B7" s="11" t="str">
        <f aca="false">IFERROR(INDEX(Summary!$B$7:$B$14,MATCH($A7,Summary!$A$7:$A$14,0)),"")</f>
        <v>TX</v>
      </c>
      <c r="C7" s="10" t="s">
        <v>27</v>
      </c>
      <c r="D7" s="10" t="n">
        <v>21</v>
      </c>
      <c r="E7" s="19" t="n">
        <v>44988</v>
      </c>
      <c r="F7" s="10" t="s">
        <v>81</v>
      </c>
      <c r="G7" s="10" t="s">
        <v>82</v>
      </c>
      <c r="H7" s="9" t="n">
        <v>1097.5</v>
      </c>
      <c r="I7" s="10" t="s">
        <v>83</v>
      </c>
      <c r="J7" s="10" t="s">
        <v>84</v>
      </c>
      <c r="K7" s="20" t="n">
        <f aca="false">IF(E7="","",($B$4-E7)/365.25)</f>
        <v>3.59479808350445</v>
      </c>
      <c r="L7" s="10" t="str">
        <f aca="false">IF(K7="","no date",IF(K7&lt;1,"0-1 yrs",IF(K7&lt;2,"1-2 yrs",IF(K7&lt;3,"2-3 yrs",IF(K7&lt;5,"3-5 yrs","5+ yrs")))))</f>
        <v>3-5 yrs</v>
      </c>
      <c r="M7" s="10" t="s">
        <v>85</v>
      </c>
      <c r="N7" s="11" t="n">
        <f aca="false">IFERROR(INDEX('State Rules'!$C$5:$C$11,MATCH($B7,'State Rules'!$A$5:$A$11,0)),"")</f>
        <v>1</v>
      </c>
      <c r="O7" s="19" t="n">
        <f aca="false">IF(OR(N7="",E7=""),"",EDATE(E7,12*N7))</f>
        <v>45354</v>
      </c>
      <c r="P7" s="19" t="n">
        <f aca="false">IF(E7="","",IFERROR(EDATE(E7,12*INDEX('State Rules'!$E$5:$E$11,MATCH($B7,'State Rules'!$A$5:$A$11,0))),""))</f>
        <v>46084</v>
      </c>
      <c r="Q7" s="10" t="str">
        <f aca="false">IF(O7="","",IFERROR(IF(O7&lt;=INDEX('State Rules'!$I$5:$I$11,MATCH($B7,'State Rules'!$A$5:$A$11,0)),"Yes","No"),""))</f>
        <v>Yes</v>
      </c>
      <c r="R7" s="10" t="str">
        <f aca="false">IF(P7="","",IFERROR(IF(P7&lt;=INDEX('State Rules'!$I$5:$I$11,MATCH($B7,'State Rules'!$A$5:$A$11,0)),"Yes","No"),""))</f>
        <v>Yes</v>
      </c>
      <c r="S7" s="7"/>
      <c r="T7" s="7"/>
      <c r="U7" s="21"/>
      <c r="V7" s="21"/>
      <c r="W7" s="21"/>
      <c r="X7" s="7"/>
      <c r="Y7" s="9" t="n">
        <f aca="false">IF(P7="","",IF(P7&lt;=$B$4,N(V7)+N(W7),0))</f>
        <v>0</v>
      </c>
    </row>
    <row r="8" customFormat="false" ht="15" hidden="false" customHeight="false" outlineLevel="0" collapsed="false">
      <c r="A8" s="10" t="s">
        <v>27</v>
      </c>
      <c r="B8" s="11" t="str">
        <f aca="false">IFERROR(INDEX(Summary!$B$7:$B$14,MATCH($A8,Summary!$A$7:$A$14,0)),"")</f>
        <v>TX</v>
      </c>
      <c r="C8" s="10" t="s">
        <v>27</v>
      </c>
      <c r="D8" s="10" t="n">
        <v>22</v>
      </c>
      <c r="E8" s="19" t="n">
        <v>45035</v>
      </c>
      <c r="F8" s="10" t="s">
        <v>86</v>
      </c>
      <c r="G8" s="10" t="s">
        <v>87</v>
      </c>
      <c r="H8" s="9" t="n">
        <v>444</v>
      </c>
      <c r="I8" s="10" t="s">
        <v>88</v>
      </c>
      <c r="J8" s="10" t="s">
        <v>84</v>
      </c>
      <c r="K8" s="20" t="n">
        <f aca="false">IF(E8="","",($B$4-E8)/365.25)</f>
        <v>3.46611909650924</v>
      </c>
      <c r="L8" s="10" t="str">
        <f aca="false">IF(K8="","no date",IF(K8&lt;1,"0-1 yrs",IF(K8&lt;2,"1-2 yrs",IF(K8&lt;3,"2-3 yrs",IF(K8&lt;5,"3-5 yrs","5+ yrs")))))</f>
        <v>3-5 yrs</v>
      </c>
      <c r="M8" s="10" t="s">
        <v>85</v>
      </c>
      <c r="N8" s="11" t="n">
        <f aca="false">IFERROR(INDEX('State Rules'!$C$5:$C$11,MATCH($B8,'State Rules'!$A$5:$A$11,0)),"")</f>
        <v>1</v>
      </c>
      <c r="O8" s="19" t="n">
        <f aca="false">IF(OR(N8="",E8=""),"",EDATE(E8,12*N8))</f>
        <v>45401</v>
      </c>
      <c r="P8" s="19" t="n">
        <f aca="false">IF(E8="","",IFERROR(EDATE(E8,12*INDEX('State Rules'!$E$5:$E$11,MATCH($B8,'State Rules'!$A$5:$A$11,0))),""))</f>
        <v>46131</v>
      </c>
      <c r="Q8" s="10" t="str">
        <f aca="false">IF(O8="","",IFERROR(IF(O8&lt;=INDEX('State Rules'!$I$5:$I$11,MATCH($B8,'State Rules'!$A$5:$A$11,0)),"Yes","No"),""))</f>
        <v>Yes</v>
      </c>
      <c r="R8" s="10" t="str">
        <f aca="false">IF(P8="","",IFERROR(IF(P8&lt;=INDEX('State Rules'!$I$5:$I$11,MATCH($B8,'State Rules'!$A$5:$A$11,0)),"Yes","No"),""))</f>
        <v>Yes</v>
      </c>
      <c r="S8" s="7"/>
      <c r="T8" s="7"/>
      <c r="U8" s="21"/>
      <c r="V8" s="21"/>
      <c r="W8" s="21"/>
      <c r="X8" s="7"/>
      <c r="Y8" s="9" t="n">
        <f aca="false">IF(P8="","",IF(P8&lt;=$B$4,N(V8)+N(W8),0))</f>
        <v>0</v>
      </c>
    </row>
    <row r="9" customFormat="false" ht="15" hidden="false" customHeight="false" outlineLevel="0" collapsed="false">
      <c r="A9" s="10" t="s">
        <v>27</v>
      </c>
      <c r="B9" s="11" t="str">
        <f aca="false">IFERROR(INDEX(Summary!$B$7:$B$14,MATCH($A9,Summary!$A$7:$A$14,0)),"")</f>
        <v>TX</v>
      </c>
      <c r="C9" s="10" t="s">
        <v>27</v>
      </c>
      <c r="D9" s="10" t="n">
        <v>23</v>
      </c>
      <c r="E9" s="19" t="n">
        <v>45051</v>
      </c>
      <c r="F9" s="10" t="s">
        <v>89</v>
      </c>
      <c r="G9" s="10" t="s">
        <v>90</v>
      </c>
      <c r="H9" s="9" t="n">
        <v>2147.5</v>
      </c>
      <c r="I9" s="10"/>
      <c r="J9" s="10" t="s">
        <v>84</v>
      </c>
      <c r="K9" s="20" t="n">
        <f aca="false">IF(E9="","",($B$4-E9)/365.25)</f>
        <v>3.42231348391513</v>
      </c>
      <c r="L9" s="10" t="str">
        <f aca="false">IF(K9="","no date",IF(K9&lt;1,"0-1 yrs",IF(K9&lt;2,"1-2 yrs",IF(K9&lt;3,"2-3 yrs",IF(K9&lt;5,"3-5 yrs","5+ yrs")))))</f>
        <v>3-5 yrs</v>
      </c>
      <c r="M9" s="10" t="s">
        <v>85</v>
      </c>
      <c r="N9" s="11" t="n">
        <f aca="false">IFERROR(INDEX('State Rules'!$C$5:$C$11,MATCH($B9,'State Rules'!$A$5:$A$11,0)),"")</f>
        <v>1</v>
      </c>
      <c r="O9" s="19" t="n">
        <f aca="false">IF(OR(N9="",E9=""),"",EDATE(E9,12*N9))</f>
        <v>45417</v>
      </c>
      <c r="P9" s="19" t="n">
        <f aca="false">IF(E9="","",IFERROR(EDATE(E9,12*INDEX('State Rules'!$E$5:$E$11,MATCH($B9,'State Rules'!$A$5:$A$11,0))),""))</f>
        <v>46147</v>
      </c>
      <c r="Q9" s="10" t="str">
        <f aca="false">IF(O9="","",IFERROR(IF(O9&lt;=INDEX('State Rules'!$I$5:$I$11,MATCH($B9,'State Rules'!$A$5:$A$11,0)),"Yes","No"),""))</f>
        <v>Yes</v>
      </c>
      <c r="R9" s="10" t="str">
        <f aca="false">IF(P9="","",IFERROR(IF(P9&lt;=INDEX('State Rules'!$I$5:$I$11,MATCH($B9,'State Rules'!$A$5:$A$11,0)),"Yes","No"),""))</f>
        <v>Yes</v>
      </c>
      <c r="S9" s="7"/>
      <c r="T9" s="7"/>
      <c r="U9" s="21"/>
      <c r="V9" s="21"/>
      <c r="W9" s="21"/>
      <c r="X9" s="7"/>
      <c r="Y9" s="9" t="n">
        <f aca="false">IF(P9="","",IF(P9&lt;=$B$4,N(V9)+N(W9),0))</f>
        <v>0</v>
      </c>
    </row>
    <row r="10" customFormat="false" ht="15" hidden="false" customHeight="false" outlineLevel="0" collapsed="false">
      <c r="A10" s="10" t="s">
        <v>27</v>
      </c>
      <c r="B10" s="11" t="str">
        <f aca="false">IFERROR(INDEX(Summary!$B$7:$B$14,MATCH($A10,Summary!$A$7:$A$14,0)),"")</f>
        <v>TX</v>
      </c>
      <c r="C10" s="10" t="s">
        <v>27</v>
      </c>
      <c r="D10" s="10" t="n">
        <v>24</v>
      </c>
      <c r="E10" s="19" t="n">
        <v>45071</v>
      </c>
      <c r="F10" s="10" t="s">
        <v>91</v>
      </c>
      <c r="G10" s="10" t="s">
        <v>92</v>
      </c>
      <c r="H10" s="9" t="n">
        <v>694.68</v>
      </c>
      <c r="I10" s="10"/>
      <c r="J10" s="10" t="s">
        <v>84</v>
      </c>
      <c r="K10" s="20" t="n">
        <f aca="false">IF(E10="","",($B$4-E10)/365.25)</f>
        <v>3.36755646817248</v>
      </c>
      <c r="L10" s="10" t="str">
        <f aca="false">IF(K10="","no date",IF(K10&lt;1,"0-1 yrs",IF(K10&lt;2,"1-2 yrs",IF(K10&lt;3,"2-3 yrs",IF(K10&lt;5,"3-5 yrs","5+ yrs")))))</f>
        <v>3-5 yrs</v>
      </c>
      <c r="M10" s="10" t="s">
        <v>85</v>
      </c>
      <c r="N10" s="11" t="n">
        <f aca="false">IFERROR(INDEX('State Rules'!$C$5:$C$11,MATCH($B10,'State Rules'!$A$5:$A$11,0)),"")</f>
        <v>1</v>
      </c>
      <c r="O10" s="19" t="n">
        <f aca="false">IF(OR(N10="",E10=""),"",EDATE(E10,12*N10))</f>
        <v>45437</v>
      </c>
      <c r="P10" s="19" t="n">
        <f aca="false">IF(E10="","",IFERROR(EDATE(E10,12*INDEX('State Rules'!$E$5:$E$11,MATCH($B10,'State Rules'!$A$5:$A$11,0))),""))</f>
        <v>46167</v>
      </c>
      <c r="Q10" s="10" t="str">
        <f aca="false">IF(O10="","",IFERROR(IF(O10&lt;=INDEX('State Rules'!$I$5:$I$11,MATCH($B10,'State Rules'!$A$5:$A$11,0)),"Yes","No"),""))</f>
        <v>Yes</v>
      </c>
      <c r="R10" s="10" t="str">
        <f aca="false">IF(P10="","",IFERROR(IF(P10&lt;=INDEX('State Rules'!$I$5:$I$11,MATCH($B10,'State Rules'!$A$5:$A$11,0)),"Yes","No"),""))</f>
        <v>Yes</v>
      </c>
      <c r="S10" s="7"/>
      <c r="T10" s="7"/>
      <c r="U10" s="21"/>
      <c r="V10" s="21"/>
      <c r="W10" s="21"/>
      <c r="X10" s="7"/>
      <c r="Y10" s="9" t="n">
        <f aca="false">IF(P10="","",IF(P10&lt;=$B$4,N(V10)+N(W10),0))</f>
        <v>0</v>
      </c>
    </row>
    <row r="11" customFormat="false" ht="15" hidden="false" customHeight="false" outlineLevel="0" collapsed="false">
      <c r="A11" s="10" t="s">
        <v>27</v>
      </c>
      <c r="B11" s="11" t="str">
        <f aca="false">IFERROR(INDEX(Summary!$B$7:$B$14,MATCH($A11,Summary!$A$7:$A$14,0)),"")</f>
        <v>TX</v>
      </c>
      <c r="C11" s="10" t="s">
        <v>27</v>
      </c>
      <c r="D11" s="10" t="n">
        <v>25</v>
      </c>
      <c r="E11" s="19" t="n">
        <v>45106</v>
      </c>
      <c r="F11" s="10" t="s">
        <v>93</v>
      </c>
      <c r="G11" s="10" t="s">
        <v>94</v>
      </c>
      <c r="H11" s="9" t="n">
        <v>500</v>
      </c>
      <c r="I11" s="10" t="s">
        <v>95</v>
      </c>
      <c r="J11" s="10" t="s">
        <v>84</v>
      </c>
      <c r="K11" s="20" t="n">
        <f aca="false">IF(E11="","",($B$4-E11)/365.25)</f>
        <v>3.27173169062286</v>
      </c>
      <c r="L11" s="10" t="str">
        <f aca="false">IF(K11="","no date",IF(K11&lt;1,"0-1 yrs",IF(K11&lt;2,"1-2 yrs",IF(K11&lt;3,"2-3 yrs",IF(K11&lt;5,"3-5 yrs","5+ yrs")))))</f>
        <v>3-5 yrs</v>
      </c>
      <c r="M11" s="22" t="s">
        <v>96</v>
      </c>
      <c r="N11" s="11" t="n">
        <f aca="false">IFERROR(INDEX('State Rules'!$C$5:$C$11,MATCH($B11,'State Rules'!$A$5:$A$11,0)),"")</f>
        <v>1</v>
      </c>
      <c r="O11" s="19" t="n">
        <f aca="false">IF(OR(N11="",E11=""),"",EDATE(E11,12*N11))</f>
        <v>45472</v>
      </c>
      <c r="P11" s="19" t="n">
        <f aca="false">IF(E11="","",IFERROR(EDATE(E11,12*INDEX('State Rules'!$E$5:$E$11,MATCH($B11,'State Rules'!$A$5:$A$11,0))),""))</f>
        <v>46202</v>
      </c>
      <c r="Q11" s="10" t="str">
        <f aca="false">IF(O11="","",IFERROR(IF(O11&lt;=INDEX('State Rules'!$I$5:$I$11,MATCH($B11,'State Rules'!$A$5:$A$11,0)),"Yes","No"),""))</f>
        <v>Yes</v>
      </c>
      <c r="R11" s="10" t="str">
        <f aca="false">IF(P11="","",IFERROR(IF(P11&lt;=INDEX('State Rules'!$I$5:$I$11,MATCH($B11,'State Rules'!$A$5:$A$11,0)),"Yes","No"),""))</f>
        <v>Yes</v>
      </c>
      <c r="S11" s="7"/>
      <c r="T11" s="7"/>
      <c r="U11" s="21"/>
      <c r="V11" s="21"/>
      <c r="W11" s="21"/>
      <c r="X11" s="7"/>
      <c r="Y11" s="9" t="n">
        <f aca="false">IF(P11="","",IF(P11&lt;=$B$4,N(V11)+N(W11),0))</f>
        <v>0</v>
      </c>
    </row>
    <row r="12" customFormat="false" ht="15" hidden="false" customHeight="false" outlineLevel="0" collapsed="false">
      <c r="A12" s="10" t="s">
        <v>27</v>
      </c>
      <c r="B12" s="11" t="str">
        <f aca="false">IFERROR(INDEX(Summary!$B$7:$B$14,MATCH($A12,Summary!$A$7:$A$14,0)),"")</f>
        <v>TX</v>
      </c>
      <c r="C12" s="10" t="s">
        <v>27</v>
      </c>
      <c r="D12" s="10" t="n">
        <v>26</v>
      </c>
      <c r="E12" s="19" t="n">
        <v>45152</v>
      </c>
      <c r="F12" s="10" t="s">
        <v>97</v>
      </c>
      <c r="G12" s="10" t="s">
        <v>98</v>
      </c>
      <c r="H12" s="9" t="n">
        <v>824.12</v>
      </c>
      <c r="I12" s="10"/>
      <c r="J12" s="10" t="s">
        <v>84</v>
      </c>
      <c r="K12" s="20" t="n">
        <f aca="false">IF(E12="","",($B$4-E12)/365.25)</f>
        <v>3.14579055441478</v>
      </c>
      <c r="L12" s="10" t="str">
        <f aca="false">IF(K12="","no date",IF(K12&lt;1,"0-1 yrs",IF(K12&lt;2,"1-2 yrs",IF(K12&lt;3,"2-3 yrs",IF(K12&lt;5,"3-5 yrs","5+ yrs")))))</f>
        <v>3-5 yrs</v>
      </c>
      <c r="M12" s="10" t="s">
        <v>85</v>
      </c>
      <c r="N12" s="11" t="n">
        <f aca="false">IFERROR(INDEX('State Rules'!$C$5:$C$11,MATCH($B12,'State Rules'!$A$5:$A$11,0)),"")</f>
        <v>1</v>
      </c>
      <c r="O12" s="19" t="n">
        <f aca="false">IF(OR(N12="",E12=""),"",EDATE(E12,12*N12))</f>
        <v>45518</v>
      </c>
      <c r="P12" s="19" t="n">
        <f aca="false">IF(E12="","",IFERROR(EDATE(E12,12*INDEX('State Rules'!$E$5:$E$11,MATCH($B12,'State Rules'!$A$5:$A$11,0))),""))</f>
        <v>46248</v>
      </c>
      <c r="Q12" s="10" t="str">
        <f aca="false">IF(O12="","",IFERROR(IF(O12&lt;=INDEX('State Rules'!$I$5:$I$11,MATCH($B12,'State Rules'!$A$5:$A$11,0)),"Yes","No"),""))</f>
        <v>Yes</v>
      </c>
      <c r="R12" s="10" t="str">
        <f aca="false">IF(P12="","",IFERROR(IF(P12&lt;=INDEX('State Rules'!$I$5:$I$11,MATCH($B12,'State Rules'!$A$5:$A$11,0)),"Yes","No"),""))</f>
        <v>Yes</v>
      </c>
      <c r="S12" s="7"/>
      <c r="T12" s="7"/>
      <c r="U12" s="21"/>
      <c r="V12" s="21"/>
      <c r="W12" s="21"/>
      <c r="X12" s="7"/>
      <c r="Y12" s="9" t="n">
        <f aca="false">IF(P12="","",IF(P12&lt;=$B$4,N(V12)+N(W12),0))</f>
        <v>0</v>
      </c>
    </row>
    <row r="13" customFormat="false" ht="15" hidden="false" customHeight="false" outlineLevel="0" collapsed="false">
      <c r="A13" s="10" t="s">
        <v>27</v>
      </c>
      <c r="B13" s="11" t="str">
        <f aca="false">IFERROR(INDEX(Summary!$B$7:$B$14,MATCH($A13,Summary!$A$7:$A$14,0)),"")</f>
        <v>TX</v>
      </c>
      <c r="C13" s="10" t="s">
        <v>27</v>
      </c>
      <c r="D13" s="10" t="n">
        <v>27</v>
      </c>
      <c r="E13" s="19" t="n">
        <v>45176</v>
      </c>
      <c r="F13" s="10" t="s">
        <v>99</v>
      </c>
      <c r="G13" s="10" t="s">
        <v>100</v>
      </c>
      <c r="H13" s="9" t="n">
        <v>91.5</v>
      </c>
      <c r="I13" s="10"/>
      <c r="J13" s="10" t="s">
        <v>84</v>
      </c>
      <c r="K13" s="20" t="n">
        <f aca="false">IF(E13="","",($B$4-E13)/365.25)</f>
        <v>3.08008213552361</v>
      </c>
      <c r="L13" s="10" t="str">
        <f aca="false">IF(K13="","no date",IF(K13&lt;1,"0-1 yrs",IF(K13&lt;2,"1-2 yrs",IF(K13&lt;3,"2-3 yrs",IF(K13&lt;5,"3-5 yrs","5+ yrs")))))</f>
        <v>3-5 yrs</v>
      </c>
      <c r="M13" s="10" t="s">
        <v>85</v>
      </c>
      <c r="N13" s="11" t="n">
        <f aca="false">IFERROR(INDEX('State Rules'!$C$5:$C$11,MATCH($B13,'State Rules'!$A$5:$A$11,0)),"")</f>
        <v>1</v>
      </c>
      <c r="O13" s="19" t="n">
        <f aca="false">IF(OR(N13="",E13=""),"",EDATE(E13,12*N13))</f>
        <v>45542</v>
      </c>
      <c r="P13" s="19" t="n">
        <f aca="false">IF(E13="","",IFERROR(EDATE(E13,12*INDEX('State Rules'!$E$5:$E$11,MATCH($B13,'State Rules'!$A$5:$A$11,0))),""))</f>
        <v>46272</v>
      </c>
      <c r="Q13" s="10" t="str">
        <f aca="false">IF(O13="","",IFERROR(IF(O13&lt;=INDEX('State Rules'!$I$5:$I$11,MATCH($B13,'State Rules'!$A$5:$A$11,0)),"Yes","No"),""))</f>
        <v>Yes</v>
      </c>
      <c r="R13" s="10" t="str">
        <f aca="false">IF(P13="","",IFERROR(IF(P13&lt;=INDEX('State Rules'!$I$5:$I$11,MATCH($B13,'State Rules'!$A$5:$A$11,0)),"Yes","No"),""))</f>
        <v>Yes</v>
      </c>
      <c r="S13" s="7"/>
      <c r="T13" s="7"/>
      <c r="U13" s="21"/>
      <c r="V13" s="21"/>
      <c r="W13" s="21"/>
      <c r="X13" s="7"/>
      <c r="Y13" s="9" t="n">
        <f aca="false">IF(P13="","",IF(P13&lt;=$B$4,N(V13)+N(W13),0))</f>
        <v>0</v>
      </c>
    </row>
    <row r="14" customFormat="false" ht="15" hidden="false" customHeight="false" outlineLevel="0" collapsed="false">
      <c r="A14" s="10" t="s">
        <v>27</v>
      </c>
      <c r="B14" s="11" t="str">
        <f aca="false">IFERROR(INDEX(Summary!$B$7:$B$14,MATCH($A14,Summary!$A$7:$A$14,0)),"")</f>
        <v>TX</v>
      </c>
      <c r="C14" s="10" t="s">
        <v>27</v>
      </c>
      <c r="D14" s="10" t="n">
        <v>28</v>
      </c>
      <c r="E14" s="19" t="n">
        <v>45183</v>
      </c>
      <c r="F14" s="10" t="s">
        <v>101</v>
      </c>
      <c r="G14" s="10" t="s">
        <v>102</v>
      </c>
      <c r="H14" s="9" t="n">
        <v>1000</v>
      </c>
      <c r="I14" s="10"/>
      <c r="J14" s="10" t="s">
        <v>84</v>
      </c>
      <c r="K14" s="20" t="n">
        <f aca="false">IF(E14="","",($B$4-E14)/365.25)</f>
        <v>3.06091718001369</v>
      </c>
      <c r="L14" s="10" t="str">
        <f aca="false">IF(K14="","no date",IF(K14&lt;1,"0-1 yrs",IF(K14&lt;2,"1-2 yrs",IF(K14&lt;3,"2-3 yrs",IF(K14&lt;5,"3-5 yrs","5+ yrs")))))</f>
        <v>3-5 yrs</v>
      </c>
      <c r="M14" s="10" t="s">
        <v>85</v>
      </c>
      <c r="N14" s="11" t="n">
        <f aca="false">IFERROR(INDEX('State Rules'!$C$5:$C$11,MATCH($B14,'State Rules'!$A$5:$A$11,0)),"")</f>
        <v>1</v>
      </c>
      <c r="O14" s="19" t="n">
        <f aca="false">IF(OR(N14="",E14=""),"",EDATE(E14,12*N14))</f>
        <v>45549</v>
      </c>
      <c r="P14" s="19" t="n">
        <f aca="false">IF(E14="","",IFERROR(EDATE(E14,12*INDEX('State Rules'!$E$5:$E$11,MATCH($B14,'State Rules'!$A$5:$A$11,0))),""))</f>
        <v>46279</v>
      </c>
      <c r="Q14" s="10" t="str">
        <f aca="false">IF(O14="","",IFERROR(IF(O14&lt;=INDEX('State Rules'!$I$5:$I$11,MATCH($B14,'State Rules'!$A$5:$A$11,0)),"Yes","No"),""))</f>
        <v>Yes</v>
      </c>
      <c r="R14" s="10" t="str">
        <f aca="false">IF(P14="","",IFERROR(IF(P14&lt;=INDEX('State Rules'!$I$5:$I$11,MATCH($B14,'State Rules'!$A$5:$A$11,0)),"Yes","No"),""))</f>
        <v>Yes</v>
      </c>
      <c r="S14" s="7"/>
      <c r="T14" s="7"/>
      <c r="U14" s="21"/>
      <c r="V14" s="21"/>
      <c r="W14" s="21"/>
      <c r="X14" s="7"/>
      <c r="Y14" s="9" t="n">
        <f aca="false">IF(P14="","",IF(P14&lt;=$B$4,N(V14)+N(W14),0))</f>
        <v>0</v>
      </c>
    </row>
    <row r="15" customFormat="false" ht="15" hidden="false" customHeight="false" outlineLevel="0" collapsed="false">
      <c r="A15" s="10" t="s">
        <v>27</v>
      </c>
      <c r="B15" s="11" t="str">
        <f aca="false">IFERROR(INDEX(Summary!$B$7:$B$14,MATCH($A15,Summary!$A$7:$A$14,0)),"")</f>
        <v>TX</v>
      </c>
      <c r="C15" s="10" t="s">
        <v>27</v>
      </c>
      <c r="D15" s="10" t="n">
        <v>29</v>
      </c>
      <c r="E15" s="19" t="n">
        <v>45237</v>
      </c>
      <c r="F15" s="10" t="s">
        <v>103</v>
      </c>
      <c r="G15" s="10" t="s">
        <v>104</v>
      </c>
      <c r="H15" s="9" t="n">
        <v>800</v>
      </c>
      <c r="I15" s="10"/>
      <c r="J15" s="10" t="s">
        <v>84</v>
      </c>
      <c r="K15" s="20" t="n">
        <f aca="false">IF(E15="","",($B$4-E15)/365.25)</f>
        <v>2.91307323750856</v>
      </c>
      <c r="L15" s="10" t="str">
        <f aca="false">IF(K15="","no date",IF(K15&lt;1,"0-1 yrs",IF(K15&lt;2,"1-2 yrs",IF(K15&lt;3,"2-3 yrs",IF(K15&lt;5,"3-5 yrs","5+ yrs")))))</f>
        <v>2-3 yrs</v>
      </c>
      <c r="M15" s="10" t="s">
        <v>85</v>
      </c>
      <c r="N15" s="11" t="n">
        <f aca="false">IFERROR(INDEX('State Rules'!$C$5:$C$11,MATCH($B15,'State Rules'!$A$5:$A$11,0)),"")</f>
        <v>1</v>
      </c>
      <c r="O15" s="19" t="n">
        <f aca="false">IF(OR(N15="",E15=""),"",EDATE(E15,12*N15))</f>
        <v>45603</v>
      </c>
      <c r="P15" s="19" t="n">
        <f aca="false">IF(E15="","",IFERROR(EDATE(E15,12*INDEX('State Rules'!$E$5:$E$11,MATCH($B15,'State Rules'!$A$5:$A$11,0))),""))</f>
        <v>46333</v>
      </c>
      <c r="Q15" s="10" t="str">
        <f aca="false">IF(O15="","",IFERROR(IF(O15&lt;=INDEX('State Rules'!$I$5:$I$11,MATCH($B15,'State Rules'!$A$5:$A$11,0)),"Yes","No"),""))</f>
        <v>Yes</v>
      </c>
      <c r="R15" s="10" t="str">
        <f aca="false">IF(P15="","",IFERROR(IF(P15&lt;=INDEX('State Rules'!$I$5:$I$11,MATCH($B15,'State Rules'!$A$5:$A$11,0)),"Yes","No"),""))</f>
        <v>Yes</v>
      </c>
      <c r="S15" s="7"/>
      <c r="T15" s="7"/>
      <c r="U15" s="21"/>
      <c r="V15" s="21"/>
      <c r="W15" s="21"/>
      <c r="X15" s="7"/>
      <c r="Y15" s="9" t="n">
        <f aca="false">IF(P15="","",IF(P15&lt;=$B$4,N(V15)+N(W15),0))</f>
        <v>0</v>
      </c>
    </row>
    <row r="16" customFormat="false" ht="15" hidden="false" customHeight="false" outlineLevel="0" collapsed="false">
      <c r="A16" s="10" t="s">
        <v>27</v>
      </c>
      <c r="B16" s="11" t="str">
        <f aca="false">IFERROR(INDEX(Summary!$B$7:$B$14,MATCH($A16,Summary!$A$7:$A$14,0)),"")</f>
        <v>TX</v>
      </c>
      <c r="C16" s="10" t="s">
        <v>27</v>
      </c>
      <c r="D16" s="10" t="n">
        <v>30</v>
      </c>
      <c r="E16" s="19" t="n">
        <v>45344</v>
      </c>
      <c r="F16" s="10" t="s">
        <v>105</v>
      </c>
      <c r="G16" s="10" t="s">
        <v>106</v>
      </c>
      <c r="H16" s="9" t="n">
        <v>534.5</v>
      </c>
      <c r="I16" s="10" t="s">
        <v>107</v>
      </c>
      <c r="J16" s="10" t="s">
        <v>84</v>
      </c>
      <c r="K16" s="20" t="n">
        <f aca="false">IF(E16="","",($B$4-E16)/365.25)</f>
        <v>2.62012320328542</v>
      </c>
      <c r="L16" s="10" t="str">
        <f aca="false">IF(K16="","no date",IF(K16&lt;1,"0-1 yrs",IF(K16&lt;2,"1-2 yrs",IF(K16&lt;3,"2-3 yrs",IF(K16&lt;5,"3-5 yrs","5+ yrs")))))</f>
        <v>2-3 yrs</v>
      </c>
      <c r="M16" s="10" t="s">
        <v>85</v>
      </c>
      <c r="N16" s="11" t="n">
        <f aca="false">IFERROR(INDEX('State Rules'!$C$5:$C$11,MATCH($B16,'State Rules'!$A$5:$A$11,0)),"")</f>
        <v>1</v>
      </c>
      <c r="O16" s="19" t="n">
        <f aca="false">IF(OR(N16="",E16=""),"",EDATE(E16,12*N16))</f>
        <v>45710</v>
      </c>
      <c r="P16" s="19" t="n">
        <f aca="false">IF(E16="","",IFERROR(EDATE(E16,12*INDEX('State Rules'!$E$5:$E$11,MATCH($B16,'State Rules'!$A$5:$A$11,0))),""))</f>
        <v>46440</v>
      </c>
      <c r="Q16" s="10" t="str">
        <f aca="false">IF(O16="","",IFERROR(IF(O16&lt;=INDEX('State Rules'!$I$5:$I$11,MATCH($B16,'State Rules'!$A$5:$A$11,0)),"Yes","No"),""))</f>
        <v>Yes</v>
      </c>
      <c r="R16" s="10" t="str">
        <f aca="false">IF(P16="","",IFERROR(IF(P16&lt;=INDEX('State Rules'!$I$5:$I$11,MATCH($B16,'State Rules'!$A$5:$A$11,0)),"Yes","No"),""))</f>
        <v>Yes</v>
      </c>
      <c r="S16" s="7"/>
      <c r="T16" s="7"/>
      <c r="U16" s="21"/>
      <c r="V16" s="21"/>
      <c r="W16" s="21"/>
      <c r="X16" s="7"/>
      <c r="Y16" s="9" t="n">
        <f aca="false">IF(P16="","",IF(P16&lt;=$B$4,N(V16)+N(W16),0))</f>
        <v>0</v>
      </c>
    </row>
    <row r="17" customFormat="false" ht="15" hidden="false" customHeight="false" outlineLevel="0" collapsed="false">
      <c r="A17" s="10" t="s">
        <v>27</v>
      </c>
      <c r="B17" s="11" t="str">
        <f aca="false">IFERROR(INDEX(Summary!$B$7:$B$14,MATCH($A17,Summary!$A$7:$A$14,0)),"")</f>
        <v>TX</v>
      </c>
      <c r="C17" s="10" t="s">
        <v>27</v>
      </c>
      <c r="D17" s="10" t="n">
        <v>31</v>
      </c>
      <c r="E17" s="19" t="n">
        <v>45365</v>
      </c>
      <c r="F17" s="10" t="s">
        <v>108</v>
      </c>
      <c r="G17" s="10" t="s">
        <v>109</v>
      </c>
      <c r="H17" s="9" t="n">
        <v>945</v>
      </c>
      <c r="I17" s="10" t="s">
        <v>110</v>
      </c>
      <c r="J17" s="10" t="s">
        <v>84</v>
      </c>
      <c r="K17" s="20" t="n">
        <f aca="false">IF(E17="","",($B$4-E17)/365.25)</f>
        <v>2.56262833675565</v>
      </c>
      <c r="L17" s="10" t="str">
        <f aca="false">IF(K17="","no date",IF(K17&lt;1,"0-1 yrs",IF(K17&lt;2,"1-2 yrs",IF(K17&lt;3,"2-3 yrs",IF(K17&lt;5,"3-5 yrs","5+ yrs")))))</f>
        <v>2-3 yrs</v>
      </c>
      <c r="M17" s="22" t="s">
        <v>96</v>
      </c>
      <c r="N17" s="11" t="n">
        <f aca="false">IFERROR(INDEX('State Rules'!$C$5:$C$11,MATCH($B17,'State Rules'!$A$5:$A$11,0)),"")</f>
        <v>1</v>
      </c>
      <c r="O17" s="19" t="n">
        <f aca="false">IF(OR(N17="",E17=""),"",EDATE(E17,12*N17))</f>
        <v>45730</v>
      </c>
      <c r="P17" s="19" t="n">
        <f aca="false">IF(E17="","",IFERROR(EDATE(E17,12*INDEX('State Rules'!$E$5:$E$11,MATCH($B17,'State Rules'!$A$5:$A$11,0))),""))</f>
        <v>46460</v>
      </c>
      <c r="Q17" s="10" t="str">
        <f aca="false">IF(O17="","",IFERROR(IF(O17&lt;=INDEX('State Rules'!$I$5:$I$11,MATCH($B17,'State Rules'!$A$5:$A$11,0)),"Yes","No"),""))</f>
        <v>Yes</v>
      </c>
      <c r="R17" s="10" t="str">
        <f aca="false">IF(P17="","",IFERROR(IF(P17&lt;=INDEX('State Rules'!$I$5:$I$11,MATCH($B17,'State Rules'!$A$5:$A$11,0)),"Yes","No"),""))</f>
        <v>No</v>
      </c>
      <c r="S17" s="7"/>
      <c r="T17" s="7"/>
      <c r="U17" s="21"/>
      <c r="V17" s="21"/>
      <c r="W17" s="21"/>
      <c r="X17" s="7"/>
      <c r="Y17" s="9" t="n">
        <f aca="false">IF(P17="","",IF(P17&lt;=$B$4,N(V17)+N(W17),0))</f>
        <v>0</v>
      </c>
    </row>
    <row r="18" customFormat="false" ht="15" hidden="false" customHeight="false" outlineLevel="0" collapsed="false">
      <c r="A18" s="10" t="s">
        <v>27</v>
      </c>
      <c r="B18" s="11" t="str">
        <f aca="false">IFERROR(INDEX(Summary!$B$7:$B$14,MATCH($A18,Summary!$A$7:$A$14,0)),"")</f>
        <v>TX</v>
      </c>
      <c r="C18" s="10" t="s">
        <v>27</v>
      </c>
      <c r="D18" s="10" t="n">
        <v>32</v>
      </c>
      <c r="E18" s="19" t="n">
        <v>45379</v>
      </c>
      <c r="F18" s="10" t="s">
        <v>111</v>
      </c>
      <c r="G18" s="10" t="s">
        <v>112</v>
      </c>
      <c r="H18" s="9" t="n">
        <v>1000</v>
      </c>
      <c r="I18" s="10" t="s">
        <v>113</v>
      </c>
      <c r="J18" s="10" t="s">
        <v>84</v>
      </c>
      <c r="K18" s="20" t="n">
        <f aca="false">IF(E18="","",($B$4-E18)/365.25)</f>
        <v>2.5242984257358</v>
      </c>
      <c r="L18" s="10" t="str">
        <f aca="false">IF(K18="","no date",IF(K18&lt;1,"0-1 yrs",IF(K18&lt;2,"1-2 yrs",IF(K18&lt;3,"2-3 yrs",IF(K18&lt;5,"3-5 yrs","5+ yrs")))))</f>
        <v>2-3 yrs</v>
      </c>
      <c r="M18" s="10" t="s">
        <v>85</v>
      </c>
      <c r="N18" s="11" t="n">
        <f aca="false">IFERROR(INDEX('State Rules'!$C$5:$C$11,MATCH($B18,'State Rules'!$A$5:$A$11,0)),"")</f>
        <v>1</v>
      </c>
      <c r="O18" s="19" t="n">
        <f aca="false">IF(OR(N18="",E18=""),"",EDATE(E18,12*N18))</f>
        <v>45744</v>
      </c>
      <c r="P18" s="19" t="n">
        <f aca="false">IF(E18="","",IFERROR(EDATE(E18,12*INDEX('State Rules'!$E$5:$E$11,MATCH($B18,'State Rules'!$A$5:$A$11,0))),""))</f>
        <v>46474</v>
      </c>
      <c r="Q18" s="10" t="str">
        <f aca="false">IF(O18="","",IFERROR(IF(O18&lt;=INDEX('State Rules'!$I$5:$I$11,MATCH($B18,'State Rules'!$A$5:$A$11,0)),"Yes","No"),""))</f>
        <v>Yes</v>
      </c>
      <c r="R18" s="10" t="str">
        <f aca="false">IF(P18="","",IFERROR(IF(P18&lt;=INDEX('State Rules'!$I$5:$I$11,MATCH($B18,'State Rules'!$A$5:$A$11,0)),"Yes","No"),""))</f>
        <v>No</v>
      </c>
      <c r="S18" s="7"/>
      <c r="T18" s="7"/>
      <c r="U18" s="21"/>
      <c r="V18" s="21"/>
      <c r="W18" s="21"/>
      <c r="X18" s="7"/>
      <c r="Y18" s="9" t="n">
        <f aca="false">IF(P18="","",IF(P18&lt;=$B$4,N(V18)+N(W18),0))</f>
        <v>0</v>
      </c>
    </row>
    <row r="19" customFormat="false" ht="15" hidden="false" customHeight="false" outlineLevel="0" collapsed="false">
      <c r="A19" s="10" t="s">
        <v>27</v>
      </c>
      <c r="B19" s="11" t="str">
        <f aca="false">IFERROR(INDEX(Summary!$B$7:$B$14,MATCH($A19,Summary!$A$7:$A$14,0)),"")</f>
        <v>TX</v>
      </c>
      <c r="C19" s="10" t="s">
        <v>27</v>
      </c>
      <c r="D19" s="10" t="n">
        <v>33</v>
      </c>
      <c r="E19" s="19" t="n">
        <v>45450</v>
      </c>
      <c r="F19" s="10" t="s">
        <v>114</v>
      </c>
      <c r="G19" s="10"/>
      <c r="H19" s="9" t="n">
        <v>44</v>
      </c>
      <c r="I19" s="10" t="s">
        <v>115</v>
      </c>
      <c r="J19" s="10" t="s">
        <v>84</v>
      </c>
      <c r="K19" s="20" t="n">
        <f aca="false">IF(E19="","",($B$4-E19)/365.25)</f>
        <v>2.32991101984942</v>
      </c>
      <c r="L19" s="10" t="str">
        <f aca="false">IF(K19="","no date",IF(K19&lt;1,"0-1 yrs",IF(K19&lt;2,"1-2 yrs",IF(K19&lt;3,"2-3 yrs",IF(K19&lt;5,"3-5 yrs","5+ yrs")))))</f>
        <v>2-3 yrs</v>
      </c>
      <c r="M19" s="10" t="s">
        <v>85</v>
      </c>
      <c r="N19" s="11" t="n">
        <f aca="false">IFERROR(INDEX('State Rules'!$C$5:$C$11,MATCH($B19,'State Rules'!$A$5:$A$11,0)),"")</f>
        <v>1</v>
      </c>
      <c r="O19" s="19" t="n">
        <f aca="false">IF(OR(N19="",E19=""),"",EDATE(E19,12*N19))</f>
        <v>45815</v>
      </c>
      <c r="P19" s="19" t="n">
        <f aca="false">IF(E19="","",IFERROR(EDATE(E19,12*INDEX('State Rules'!$E$5:$E$11,MATCH($B19,'State Rules'!$A$5:$A$11,0))),""))</f>
        <v>46545</v>
      </c>
      <c r="Q19" s="10" t="str">
        <f aca="false">IF(O19="","",IFERROR(IF(O19&lt;=INDEX('State Rules'!$I$5:$I$11,MATCH($B19,'State Rules'!$A$5:$A$11,0)),"Yes","No"),""))</f>
        <v>Yes</v>
      </c>
      <c r="R19" s="10" t="str">
        <f aca="false">IF(P19="","",IFERROR(IF(P19&lt;=INDEX('State Rules'!$I$5:$I$11,MATCH($B19,'State Rules'!$A$5:$A$11,0)),"Yes","No"),""))</f>
        <v>No</v>
      </c>
      <c r="S19" s="7"/>
      <c r="T19" s="7"/>
      <c r="U19" s="21"/>
      <c r="V19" s="21"/>
      <c r="W19" s="21"/>
      <c r="X19" s="7"/>
      <c r="Y19" s="9" t="n">
        <f aca="false">IF(P19="","",IF(P19&lt;=$B$4,N(V19)+N(W19),0))</f>
        <v>0</v>
      </c>
    </row>
    <row r="20" customFormat="false" ht="15" hidden="false" customHeight="false" outlineLevel="0" collapsed="false">
      <c r="A20" s="10" t="s">
        <v>27</v>
      </c>
      <c r="B20" s="11" t="str">
        <f aca="false">IFERROR(INDEX(Summary!$B$7:$B$14,MATCH($A20,Summary!$A$7:$A$14,0)),"")</f>
        <v>TX</v>
      </c>
      <c r="C20" s="10" t="s">
        <v>27</v>
      </c>
      <c r="D20" s="10" t="n">
        <v>34</v>
      </c>
      <c r="E20" s="19" t="n">
        <v>45476</v>
      </c>
      <c r="F20" s="10" t="s">
        <v>116</v>
      </c>
      <c r="G20" s="10" t="s">
        <v>117</v>
      </c>
      <c r="H20" s="9" t="n">
        <v>10</v>
      </c>
      <c r="I20" s="10"/>
      <c r="J20" s="10" t="s">
        <v>84</v>
      </c>
      <c r="K20" s="20" t="n">
        <f aca="false">IF(E20="","",($B$4-E20)/365.25)</f>
        <v>2.25872689938398</v>
      </c>
      <c r="L20" s="10" t="str">
        <f aca="false">IF(K20="","no date",IF(K20&lt;1,"0-1 yrs",IF(K20&lt;2,"1-2 yrs",IF(K20&lt;3,"2-3 yrs",IF(K20&lt;5,"3-5 yrs","5+ yrs")))))</f>
        <v>2-3 yrs</v>
      </c>
      <c r="M20" s="10" t="s">
        <v>85</v>
      </c>
      <c r="N20" s="11" t="n">
        <f aca="false">IFERROR(INDEX('State Rules'!$C$5:$C$11,MATCH($B20,'State Rules'!$A$5:$A$11,0)),"")</f>
        <v>1</v>
      </c>
      <c r="O20" s="19" t="n">
        <f aca="false">IF(OR(N20="",E20=""),"",EDATE(E20,12*N20))</f>
        <v>45841</v>
      </c>
      <c r="P20" s="19" t="n">
        <f aca="false">IF(E20="","",IFERROR(EDATE(E20,12*INDEX('State Rules'!$E$5:$E$11,MATCH($B20,'State Rules'!$A$5:$A$11,0))),""))</f>
        <v>46571</v>
      </c>
      <c r="Q20" s="10" t="str">
        <f aca="false">IF(O20="","",IFERROR(IF(O20&lt;=INDEX('State Rules'!$I$5:$I$11,MATCH($B20,'State Rules'!$A$5:$A$11,0)),"Yes","No"),""))</f>
        <v>Yes</v>
      </c>
      <c r="R20" s="10" t="str">
        <f aca="false">IF(P20="","",IFERROR(IF(P20&lt;=INDEX('State Rules'!$I$5:$I$11,MATCH($B20,'State Rules'!$A$5:$A$11,0)),"Yes","No"),""))</f>
        <v>No</v>
      </c>
      <c r="S20" s="7"/>
      <c r="T20" s="7"/>
      <c r="U20" s="21"/>
      <c r="V20" s="21"/>
      <c r="W20" s="21"/>
      <c r="X20" s="7"/>
      <c r="Y20" s="9" t="n">
        <f aca="false">IF(P20="","",IF(P20&lt;=$B$4,N(V20)+N(W20),0))</f>
        <v>0</v>
      </c>
    </row>
    <row r="21" customFormat="false" ht="15" hidden="false" customHeight="false" outlineLevel="0" collapsed="false">
      <c r="A21" s="10" t="s">
        <v>27</v>
      </c>
      <c r="B21" s="11" t="str">
        <f aca="false">IFERROR(INDEX(Summary!$B$7:$B$14,MATCH($A21,Summary!$A$7:$A$14,0)),"")</f>
        <v>TX</v>
      </c>
      <c r="C21" s="10" t="s">
        <v>27</v>
      </c>
      <c r="D21" s="10" t="n">
        <v>35</v>
      </c>
      <c r="E21" s="19" t="n">
        <v>45476</v>
      </c>
      <c r="F21" s="10" t="s">
        <v>118</v>
      </c>
      <c r="G21" s="10" t="s">
        <v>117</v>
      </c>
      <c r="H21" s="9" t="n">
        <v>1549</v>
      </c>
      <c r="I21" s="10"/>
      <c r="J21" s="10" t="s">
        <v>84</v>
      </c>
      <c r="K21" s="20" t="n">
        <f aca="false">IF(E21="","",($B$4-E21)/365.25)</f>
        <v>2.25872689938398</v>
      </c>
      <c r="L21" s="10" t="str">
        <f aca="false">IF(K21="","no date",IF(K21&lt;1,"0-1 yrs",IF(K21&lt;2,"1-2 yrs",IF(K21&lt;3,"2-3 yrs",IF(K21&lt;5,"3-5 yrs","5+ yrs")))))</f>
        <v>2-3 yrs</v>
      </c>
      <c r="M21" s="10" t="s">
        <v>85</v>
      </c>
      <c r="N21" s="11" t="n">
        <f aca="false">IFERROR(INDEX('State Rules'!$C$5:$C$11,MATCH($B21,'State Rules'!$A$5:$A$11,0)),"")</f>
        <v>1</v>
      </c>
      <c r="O21" s="19" t="n">
        <f aca="false">IF(OR(N21="",E21=""),"",EDATE(E21,12*N21))</f>
        <v>45841</v>
      </c>
      <c r="P21" s="19" t="n">
        <f aca="false">IF(E21="","",IFERROR(EDATE(E21,12*INDEX('State Rules'!$E$5:$E$11,MATCH($B21,'State Rules'!$A$5:$A$11,0))),""))</f>
        <v>46571</v>
      </c>
      <c r="Q21" s="10" t="str">
        <f aca="false">IF(O21="","",IFERROR(IF(O21&lt;=INDEX('State Rules'!$I$5:$I$11,MATCH($B21,'State Rules'!$A$5:$A$11,0)),"Yes","No"),""))</f>
        <v>Yes</v>
      </c>
      <c r="R21" s="10" t="str">
        <f aca="false">IF(P21="","",IFERROR(IF(P21&lt;=INDEX('State Rules'!$I$5:$I$11,MATCH($B21,'State Rules'!$A$5:$A$11,0)),"Yes","No"),""))</f>
        <v>No</v>
      </c>
      <c r="S21" s="7"/>
      <c r="T21" s="7"/>
      <c r="U21" s="21"/>
      <c r="V21" s="21"/>
      <c r="W21" s="21"/>
      <c r="X21" s="7"/>
      <c r="Y21" s="9" t="n">
        <f aca="false">IF(P21="","",IF(P21&lt;=$B$4,N(V21)+N(W21),0))</f>
        <v>0</v>
      </c>
    </row>
    <row r="22" customFormat="false" ht="15" hidden="false" customHeight="false" outlineLevel="0" collapsed="false">
      <c r="A22" s="10" t="s">
        <v>27</v>
      </c>
      <c r="B22" s="11" t="str">
        <f aca="false">IFERROR(INDEX(Summary!$B$7:$B$14,MATCH($A22,Summary!$A$7:$A$14,0)),"")</f>
        <v>TX</v>
      </c>
      <c r="C22" s="10" t="s">
        <v>27</v>
      </c>
      <c r="D22" s="10" t="n">
        <v>36</v>
      </c>
      <c r="E22" s="19" t="n">
        <v>45485</v>
      </c>
      <c r="F22" s="10" t="s">
        <v>119</v>
      </c>
      <c r="G22" s="10" t="s">
        <v>120</v>
      </c>
      <c r="H22" s="9" t="n">
        <v>609.24</v>
      </c>
      <c r="I22" s="10"/>
      <c r="J22" s="10" t="s">
        <v>84</v>
      </c>
      <c r="K22" s="20" t="n">
        <f aca="false">IF(E22="","",($B$4-E22)/365.25)</f>
        <v>2.23408624229979</v>
      </c>
      <c r="L22" s="10" t="str">
        <f aca="false">IF(K22="","no date",IF(K22&lt;1,"0-1 yrs",IF(K22&lt;2,"1-2 yrs",IF(K22&lt;3,"2-3 yrs",IF(K22&lt;5,"3-5 yrs","5+ yrs")))))</f>
        <v>2-3 yrs</v>
      </c>
      <c r="M22" s="10" t="s">
        <v>85</v>
      </c>
      <c r="N22" s="11" t="n">
        <f aca="false">IFERROR(INDEX('State Rules'!$C$5:$C$11,MATCH($B22,'State Rules'!$A$5:$A$11,0)),"")</f>
        <v>1</v>
      </c>
      <c r="O22" s="19" t="n">
        <f aca="false">IF(OR(N22="",E22=""),"",EDATE(E22,12*N22))</f>
        <v>45850</v>
      </c>
      <c r="P22" s="19" t="n">
        <f aca="false">IF(E22="","",IFERROR(EDATE(E22,12*INDEX('State Rules'!$E$5:$E$11,MATCH($B22,'State Rules'!$A$5:$A$11,0))),""))</f>
        <v>46580</v>
      </c>
      <c r="Q22" s="10" t="str">
        <f aca="false">IF(O22="","",IFERROR(IF(O22&lt;=INDEX('State Rules'!$I$5:$I$11,MATCH($B22,'State Rules'!$A$5:$A$11,0)),"Yes","No"),""))</f>
        <v>Yes</v>
      </c>
      <c r="R22" s="10" t="str">
        <f aca="false">IF(P22="","",IFERROR(IF(P22&lt;=INDEX('State Rules'!$I$5:$I$11,MATCH($B22,'State Rules'!$A$5:$A$11,0)),"Yes","No"),""))</f>
        <v>No</v>
      </c>
      <c r="S22" s="7"/>
      <c r="T22" s="7"/>
      <c r="U22" s="21"/>
      <c r="V22" s="21"/>
      <c r="W22" s="21"/>
      <c r="X22" s="7"/>
      <c r="Y22" s="9" t="n">
        <f aca="false">IF(P22="","",IF(P22&lt;=$B$4,N(V22)+N(W22),0))</f>
        <v>0</v>
      </c>
    </row>
    <row r="23" customFormat="false" ht="15" hidden="false" customHeight="false" outlineLevel="0" collapsed="false">
      <c r="A23" s="10" t="s">
        <v>27</v>
      </c>
      <c r="B23" s="11" t="str">
        <f aca="false">IFERROR(INDEX(Summary!$B$7:$B$14,MATCH($A23,Summary!$A$7:$A$14,0)),"")</f>
        <v>TX</v>
      </c>
      <c r="C23" s="10" t="s">
        <v>27</v>
      </c>
      <c r="D23" s="10" t="n">
        <v>37</v>
      </c>
      <c r="E23" s="19" t="n">
        <v>45488</v>
      </c>
      <c r="F23" s="10" t="s">
        <v>121</v>
      </c>
      <c r="G23" s="10" t="s">
        <v>122</v>
      </c>
      <c r="H23" s="9" t="n">
        <v>644</v>
      </c>
      <c r="I23" s="10"/>
      <c r="J23" s="10" t="s">
        <v>84</v>
      </c>
      <c r="K23" s="20" t="n">
        <f aca="false">IF(E23="","",($B$4-E23)/365.25)</f>
        <v>2.2258726899384</v>
      </c>
      <c r="L23" s="10" t="str">
        <f aca="false">IF(K23="","no date",IF(K23&lt;1,"0-1 yrs",IF(K23&lt;2,"1-2 yrs",IF(K23&lt;3,"2-3 yrs",IF(K23&lt;5,"3-5 yrs","5+ yrs")))))</f>
        <v>2-3 yrs</v>
      </c>
      <c r="M23" s="10" t="s">
        <v>123</v>
      </c>
      <c r="N23" s="11" t="n">
        <f aca="false">IFERROR(INDEX('State Rules'!$C$5:$C$11,MATCH($B23,'State Rules'!$A$5:$A$11,0)),"")</f>
        <v>1</v>
      </c>
      <c r="O23" s="19" t="n">
        <f aca="false">IF(OR(N23="",E23=""),"",EDATE(E23,12*N23))</f>
        <v>45853</v>
      </c>
      <c r="P23" s="19" t="n">
        <f aca="false">IF(E23="","",IFERROR(EDATE(E23,12*INDEX('State Rules'!$E$5:$E$11,MATCH($B23,'State Rules'!$A$5:$A$11,0))),""))</f>
        <v>46583</v>
      </c>
      <c r="Q23" s="10" t="str">
        <f aca="false">IF(O23="","",IFERROR(IF(O23&lt;=INDEX('State Rules'!$I$5:$I$11,MATCH($B23,'State Rules'!$A$5:$A$11,0)),"Yes","No"),""))</f>
        <v>Yes</v>
      </c>
      <c r="R23" s="10" t="str">
        <f aca="false">IF(P23="","",IFERROR(IF(P23&lt;=INDEX('State Rules'!$I$5:$I$11,MATCH($B23,'State Rules'!$A$5:$A$11,0)),"Yes","No"),""))</f>
        <v>No</v>
      </c>
      <c r="S23" s="7"/>
      <c r="T23" s="7"/>
      <c r="U23" s="21"/>
      <c r="V23" s="21"/>
      <c r="W23" s="21"/>
      <c r="X23" s="7"/>
      <c r="Y23" s="9" t="n">
        <f aca="false">IF(P23="","",IF(P23&lt;=$B$4,N(V23)+N(W23),0))</f>
        <v>0</v>
      </c>
    </row>
    <row r="24" customFormat="false" ht="15" hidden="false" customHeight="false" outlineLevel="0" collapsed="false">
      <c r="A24" s="10" t="s">
        <v>27</v>
      </c>
      <c r="B24" s="11" t="str">
        <f aca="false">IFERROR(INDEX(Summary!$B$7:$B$14,MATCH($A24,Summary!$A$7:$A$14,0)),"")</f>
        <v>TX</v>
      </c>
      <c r="C24" s="10" t="s">
        <v>27</v>
      </c>
      <c r="D24" s="10" t="n">
        <v>38</v>
      </c>
      <c r="E24" s="19" t="n">
        <v>45506</v>
      </c>
      <c r="F24" s="10" t="s">
        <v>124</v>
      </c>
      <c r="G24" s="10"/>
      <c r="H24" s="9" t="n">
        <v>1044</v>
      </c>
      <c r="I24" s="10"/>
      <c r="J24" s="10" t="s">
        <v>84</v>
      </c>
      <c r="K24" s="20" t="n">
        <f aca="false">IF(E24="","",($B$4-E24)/365.25)</f>
        <v>2.17659137577002</v>
      </c>
      <c r="L24" s="10" t="str">
        <f aca="false">IF(K24="","no date",IF(K24&lt;1,"0-1 yrs",IF(K24&lt;2,"1-2 yrs",IF(K24&lt;3,"2-3 yrs",IF(K24&lt;5,"3-5 yrs","5+ yrs")))))</f>
        <v>2-3 yrs</v>
      </c>
      <c r="M24" s="10" t="s">
        <v>85</v>
      </c>
      <c r="N24" s="11" t="n">
        <f aca="false">IFERROR(INDEX('State Rules'!$C$5:$C$11,MATCH($B24,'State Rules'!$A$5:$A$11,0)),"")</f>
        <v>1</v>
      </c>
      <c r="O24" s="19" t="n">
        <f aca="false">IF(OR(N24="",E24=""),"",EDATE(E24,12*N24))</f>
        <v>45871</v>
      </c>
      <c r="P24" s="19" t="n">
        <f aca="false">IF(E24="","",IFERROR(EDATE(E24,12*INDEX('State Rules'!$E$5:$E$11,MATCH($B24,'State Rules'!$A$5:$A$11,0))),""))</f>
        <v>46601</v>
      </c>
      <c r="Q24" s="10" t="str">
        <f aca="false">IF(O24="","",IFERROR(IF(O24&lt;=INDEX('State Rules'!$I$5:$I$11,MATCH($B24,'State Rules'!$A$5:$A$11,0)),"Yes","No"),""))</f>
        <v>Yes</v>
      </c>
      <c r="R24" s="10" t="str">
        <f aca="false">IF(P24="","",IFERROR(IF(P24&lt;=INDEX('State Rules'!$I$5:$I$11,MATCH($B24,'State Rules'!$A$5:$A$11,0)),"Yes","No"),""))</f>
        <v>No</v>
      </c>
      <c r="S24" s="7"/>
      <c r="T24" s="7"/>
      <c r="U24" s="21"/>
      <c r="V24" s="21"/>
      <c r="W24" s="21"/>
      <c r="X24" s="7"/>
      <c r="Y24" s="9" t="n">
        <f aca="false">IF(P24="","",IF(P24&lt;=$B$4,N(V24)+N(W24),0))</f>
        <v>0</v>
      </c>
    </row>
    <row r="25" customFormat="false" ht="15" hidden="false" customHeight="false" outlineLevel="0" collapsed="false">
      <c r="A25" s="10" t="s">
        <v>27</v>
      </c>
      <c r="B25" s="11" t="str">
        <f aca="false">IFERROR(INDEX(Summary!$B$7:$B$14,MATCH($A25,Summary!$A$7:$A$14,0)),"")</f>
        <v>TX</v>
      </c>
      <c r="C25" s="10" t="s">
        <v>27</v>
      </c>
      <c r="D25" s="10" t="n">
        <v>39</v>
      </c>
      <c r="E25" s="19" t="n">
        <v>45579</v>
      </c>
      <c r="F25" s="10" t="s">
        <v>125</v>
      </c>
      <c r="G25" s="10"/>
      <c r="H25" s="9" t="n">
        <v>449.75</v>
      </c>
      <c r="I25" s="10" t="s">
        <v>126</v>
      </c>
      <c r="J25" s="10" t="s">
        <v>84</v>
      </c>
      <c r="K25" s="20" t="n">
        <f aca="false">IF(E25="","",($B$4-E25)/365.25)</f>
        <v>1.97672826830938</v>
      </c>
      <c r="L25" s="10" t="str">
        <f aca="false">IF(K25="","no date",IF(K25&lt;1,"0-1 yrs",IF(K25&lt;2,"1-2 yrs",IF(K25&lt;3,"2-3 yrs",IF(K25&lt;5,"3-5 yrs","5+ yrs")))))</f>
        <v>1-2 yrs</v>
      </c>
      <c r="M25" s="22" t="s">
        <v>96</v>
      </c>
      <c r="N25" s="11" t="n">
        <f aca="false">IFERROR(INDEX('State Rules'!$C$5:$C$11,MATCH($B25,'State Rules'!$A$5:$A$11,0)),"")</f>
        <v>1</v>
      </c>
      <c r="O25" s="19" t="n">
        <f aca="false">IF(OR(N25="",E25=""),"",EDATE(E25,12*N25))</f>
        <v>45944</v>
      </c>
      <c r="P25" s="19" t="n">
        <f aca="false">IF(E25="","",IFERROR(EDATE(E25,12*INDEX('State Rules'!$E$5:$E$11,MATCH($B25,'State Rules'!$A$5:$A$11,0))),""))</f>
        <v>46674</v>
      </c>
      <c r="Q25" s="10" t="str">
        <f aca="false">IF(O25="","",IFERROR(IF(O25&lt;=INDEX('State Rules'!$I$5:$I$11,MATCH($B25,'State Rules'!$A$5:$A$11,0)),"Yes","No"),""))</f>
        <v>Yes</v>
      </c>
      <c r="R25" s="10" t="str">
        <f aca="false">IF(P25="","",IFERROR(IF(P25&lt;=INDEX('State Rules'!$I$5:$I$11,MATCH($B25,'State Rules'!$A$5:$A$11,0)),"Yes","No"),""))</f>
        <v>No</v>
      </c>
      <c r="S25" s="7"/>
      <c r="T25" s="7"/>
      <c r="U25" s="21"/>
      <c r="V25" s="21"/>
      <c r="W25" s="21"/>
      <c r="X25" s="7"/>
      <c r="Y25" s="9" t="n">
        <f aca="false">IF(P25="","",IF(P25&lt;=$B$4,N(V25)+N(W25),0))</f>
        <v>0</v>
      </c>
    </row>
    <row r="26" customFormat="false" ht="15" hidden="false" customHeight="false" outlineLevel="0" collapsed="false">
      <c r="A26" s="10" t="s">
        <v>27</v>
      </c>
      <c r="B26" s="11" t="str">
        <f aca="false">IFERROR(INDEX(Summary!$B$7:$B$14,MATCH($A26,Summary!$A$7:$A$14,0)),"")</f>
        <v>TX</v>
      </c>
      <c r="C26" s="10" t="s">
        <v>27</v>
      </c>
      <c r="D26" s="10" t="n">
        <v>40</v>
      </c>
      <c r="E26" s="19" t="n">
        <v>45611</v>
      </c>
      <c r="F26" s="10" t="s">
        <v>127</v>
      </c>
      <c r="G26" s="10"/>
      <c r="H26" s="9" t="n">
        <v>800</v>
      </c>
      <c r="I26" s="10" t="s">
        <v>128</v>
      </c>
      <c r="J26" s="10" t="s">
        <v>84</v>
      </c>
      <c r="K26" s="20" t="n">
        <f aca="false">IF(E26="","",($B$4-E26)/365.25)</f>
        <v>1.88911704312115</v>
      </c>
      <c r="L26" s="10" t="str">
        <f aca="false">IF(K26="","no date",IF(K26&lt;1,"0-1 yrs",IF(K26&lt;2,"1-2 yrs",IF(K26&lt;3,"2-3 yrs",IF(K26&lt;5,"3-5 yrs","5+ yrs")))))</f>
        <v>1-2 yrs</v>
      </c>
      <c r="M26" s="22" t="s">
        <v>96</v>
      </c>
      <c r="N26" s="11" t="n">
        <f aca="false">IFERROR(INDEX('State Rules'!$C$5:$C$11,MATCH($B26,'State Rules'!$A$5:$A$11,0)),"")</f>
        <v>1</v>
      </c>
      <c r="O26" s="19" t="n">
        <f aca="false">IF(OR(N26="",E26=""),"",EDATE(E26,12*N26))</f>
        <v>45976</v>
      </c>
      <c r="P26" s="19" t="n">
        <f aca="false">IF(E26="","",IFERROR(EDATE(E26,12*INDEX('State Rules'!$E$5:$E$11,MATCH($B26,'State Rules'!$A$5:$A$11,0))),""))</f>
        <v>46706</v>
      </c>
      <c r="Q26" s="10" t="str">
        <f aca="false">IF(O26="","",IFERROR(IF(O26&lt;=INDEX('State Rules'!$I$5:$I$11,MATCH($B26,'State Rules'!$A$5:$A$11,0)),"Yes","No"),""))</f>
        <v>Yes</v>
      </c>
      <c r="R26" s="10" t="str">
        <f aca="false">IF(P26="","",IFERROR(IF(P26&lt;=INDEX('State Rules'!$I$5:$I$11,MATCH($B26,'State Rules'!$A$5:$A$11,0)),"Yes","No"),""))</f>
        <v>No</v>
      </c>
      <c r="S26" s="7"/>
      <c r="T26" s="7"/>
      <c r="U26" s="21"/>
      <c r="V26" s="21"/>
      <c r="W26" s="21"/>
      <c r="X26" s="7"/>
      <c r="Y26" s="9" t="n">
        <f aca="false">IF(P26="","",IF(P26&lt;=$B$4,N(V26)+N(W26),0))</f>
        <v>0</v>
      </c>
    </row>
    <row r="27" customFormat="false" ht="15" hidden="false" customHeight="false" outlineLevel="0" collapsed="false">
      <c r="A27" s="10" t="s">
        <v>27</v>
      </c>
      <c r="B27" s="11" t="str">
        <f aca="false">IFERROR(INDEX(Summary!$B$7:$B$14,MATCH($A27,Summary!$A$7:$A$14,0)),"")</f>
        <v>TX</v>
      </c>
      <c r="C27" s="10" t="s">
        <v>27</v>
      </c>
      <c r="D27" s="10" t="n">
        <v>41</v>
      </c>
      <c r="E27" s="19" t="n">
        <v>45615</v>
      </c>
      <c r="F27" s="10" t="s">
        <v>129</v>
      </c>
      <c r="G27" s="10"/>
      <c r="H27" s="9" t="n">
        <v>4.5</v>
      </c>
      <c r="I27" s="10" t="s">
        <v>130</v>
      </c>
      <c r="J27" s="10" t="s">
        <v>84</v>
      </c>
      <c r="K27" s="20" t="n">
        <f aca="false">IF(E27="","",($B$4-E27)/365.25)</f>
        <v>1.87816563997262</v>
      </c>
      <c r="L27" s="10" t="str">
        <f aca="false">IF(K27="","no date",IF(K27&lt;1,"0-1 yrs",IF(K27&lt;2,"1-2 yrs",IF(K27&lt;3,"2-3 yrs",IF(K27&lt;5,"3-5 yrs","5+ yrs")))))</f>
        <v>1-2 yrs</v>
      </c>
      <c r="M27" s="22" t="s">
        <v>96</v>
      </c>
      <c r="N27" s="11" t="n">
        <f aca="false">IFERROR(INDEX('State Rules'!$C$5:$C$11,MATCH($B27,'State Rules'!$A$5:$A$11,0)),"")</f>
        <v>1</v>
      </c>
      <c r="O27" s="19" t="n">
        <f aca="false">IF(OR(N27="",E27=""),"",EDATE(E27,12*N27))</f>
        <v>45980</v>
      </c>
      <c r="P27" s="19" t="n">
        <f aca="false">IF(E27="","",IFERROR(EDATE(E27,12*INDEX('State Rules'!$E$5:$E$11,MATCH($B27,'State Rules'!$A$5:$A$11,0))),""))</f>
        <v>46710</v>
      </c>
      <c r="Q27" s="10" t="str">
        <f aca="false">IF(O27="","",IFERROR(IF(O27&lt;=INDEX('State Rules'!$I$5:$I$11,MATCH($B27,'State Rules'!$A$5:$A$11,0)),"Yes","No"),""))</f>
        <v>Yes</v>
      </c>
      <c r="R27" s="10" t="str">
        <f aca="false">IF(P27="","",IFERROR(IF(P27&lt;=INDEX('State Rules'!$I$5:$I$11,MATCH($B27,'State Rules'!$A$5:$A$11,0)),"Yes","No"),""))</f>
        <v>No</v>
      </c>
      <c r="S27" s="7"/>
      <c r="T27" s="7"/>
      <c r="U27" s="21"/>
      <c r="V27" s="21"/>
      <c r="W27" s="21"/>
      <c r="X27" s="7"/>
      <c r="Y27" s="9" t="n">
        <f aca="false">IF(P27="","",IF(P27&lt;=$B$4,N(V27)+N(W27),0))</f>
        <v>0</v>
      </c>
    </row>
    <row r="28" customFormat="false" ht="15" hidden="false" customHeight="false" outlineLevel="0" collapsed="false">
      <c r="A28" s="10" t="s">
        <v>27</v>
      </c>
      <c r="B28" s="11" t="str">
        <f aca="false">IFERROR(INDEX(Summary!$B$7:$B$14,MATCH($A28,Summary!$A$7:$A$14,0)),"")</f>
        <v>TX</v>
      </c>
      <c r="C28" s="10" t="s">
        <v>27</v>
      </c>
      <c r="D28" s="10" t="n">
        <v>42</v>
      </c>
      <c r="E28" s="19" t="n">
        <v>45616</v>
      </c>
      <c r="F28" s="10" t="s">
        <v>131</v>
      </c>
      <c r="G28" s="10"/>
      <c r="H28" s="9" t="n">
        <v>2865</v>
      </c>
      <c r="I28" s="10" t="s">
        <v>132</v>
      </c>
      <c r="J28" s="10" t="s">
        <v>84</v>
      </c>
      <c r="K28" s="20" t="n">
        <f aca="false">IF(E28="","",($B$4-E28)/365.25)</f>
        <v>1.87542778918549</v>
      </c>
      <c r="L28" s="10" t="str">
        <f aca="false">IF(K28="","no date",IF(K28&lt;1,"0-1 yrs",IF(K28&lt;2,"1-2 yrs",IF(K28&lt;3,"2-3 yrs",IF(K28&lt;5,"3-5 yrs","5+ yrs")))))</f>
        <v>1-2 yrs</v>
      </c>
      <c r="M28" s="22" t="s">
        <v>96</v>
      </c>
      <c r="N28" s="11" t="n">
        <f aca="false">IFERROR(INDEX('State Rules'!$C$5:$C$11,MATCH($B28,'State Rules'!$A$5:$A$11,0)),"")</f>
        <v>1</v>
      </c>
      <c r="O28" s="19" t="n">
        <f aca="false">IF(OR(N28="",E28=""),"",EDATE(E28,12*N28))</f>
        <v>45981</v>
      </c>
      <c r="P28" s="19" t="n">
        <f aca="false">IF(E28="","",IFERROR(EDATE(E28,12*INDEX('State Rules'!$E$5:$E$11,MATCH($B28,'State Rules'!$A$5:$A$11,0))),""))</f>
        <v>46711</v>
      </c>
      <c r="Q28" s="10" t="str">
        <f aca="false">IF(O28="","",IFERROR(IF(O28&lt;=INDEX('State Rules'!$I$5:$I$11,MATCH($B28,'State Rules'!$A$5:$A$11,0)),"Yes","No"),""))</f>
        <v>Yes</v>
      </c>
      <c r="R28" s="10" t="str">
        <f aca="false">IF(P28="","",IFERROR(IF(P28&lt;=INDEX('State Rules'!$I$5:$I$11,MATCH($B28,'State Rules'!$A$5:$A$11,0)),"Yes","No"),""))</f>
        <v>No</v>
      </c>
      <c r="S28" s="7"/>
      <c r="T28" s="7"/>
      <c r="U28" s="21"/>
      <c r="V28" s="21"/>
      <c r="W28" s="21"/>
      <c r="X28" s="7"/>
      <c r="Y28" s="9" t="n">
        <f aca="false">IF(P28="","",IF(P28&lt;=$B$4,N(V28)+N(W28),0))</f>
        <v>0</v>
      </c>
    </row>
    <row r="29" customFormat="false" ht="15" hidden="false" customHeight="false" outlineLevel="0" collapsed="false">
      <c r="A29" s="10" t="s">
        <v>27</v>
      </c>
      <c r="B29" s="11" t="str">
        <f aca="false">IFERROR(INDEX(Summary!$B$7:$B$14,MATCH($A29,Summary!$A$7:$A$14,0)),"")</f>
        <v>TX</v>
      </c>
      <c r="C29" s="10" t="s">
        <v>27</v>
      </c>
      <c r="D29" s="10" t="n">
        <v>43</v>
      </c>
      <c r="E29" s="19" t="n">
        <v>45708</v>
      </c>
      <c r="F29" s="10" t="s">
        <v>133</v>
      </c>
      <c r="G29" s="10"/>
      <c r="H29" s="9" t="n">
        <v>106.96</v>
      </c>
      <c r="I29" s="10"/>
      <c r="J29" s="10" t="s">
        <v>84</v>
      </c>
      <c r="K29" s="20" t="n">
        <f aca="false">IF(E29="","",($B$4-E29)/365.25)</f>
        <v>1.62354551676934</v>
      </c>
      <c r="L29" s="10" t="str">
        <f aca="false">IF(K29="","no date",IF(K29&lt;1,"0-1 yrs",IF(K29&lt;2,"1-2 yrs",IF(K29&lt;3,"2-3 yrs",IF(K29&lt;5,"3-5 yrs","5+ yrs")))))</f>
        <v>1-2 yrs</v>
      </c>
      <c r="M29" s="10" t="s">
        <v>85</v>
      </c>
      <c r="N29" s="11" t="n">
        <f aca="false">IFERROR(INDEX('State Rules'!$C$5:$C$11,MATCH($B29,'State Rules'!$A$5:$A$11,0)),"")</f>
        <v>1</v>
      </c>
      <c r="O29" s="19" t="n">
        <f aca="false">IF(OR(N29="",E29=""),"",EDATE(E29,12*N29))</f>
        <v>46073</v>
      </c>
      <c r="P29" s="19" t="n">
        <f aca="false">IF(E29="","",IFERROR(EDATE(E29,12*INDEX('State Rules'!$E$5:$E$11,MATCH($B29,'State Rules'!$A$5:$A$11,0))),""))</f>
        <v>46803</v>
      </c>
      <c r="Q29" s="10" t="str">
        <f aca="false">IF(O29="","",IFERROR(IF(O29&lt;=INDEX('State Rules'!$I$5:$I$11,MATCH($B29,'State Rules'!$A$5:$A$11,0)),"Yes","No"),""))</f>
        <v>Yes</v>
      </c>
      <c r="R29" s="10" t="str">
        <f aca="false">IF(P29="","",IFERROR(IF(P29&lt;=INDEX('State Rules'!$I$5:$I$11,MATCH($B29,'State Rules'!$A$5:$A$11,0)),"Yes","No"),""))</f>
        <v>No</v>
      </c>
      <c r="S29" s="7"/>
      <c r="T29" s="7"/>
      <c r="U29" s="21"/>
      <c r="V29" s="21"/>
      <c r="W29" s="21"/>
      <c r="X29" s="7"/>
      <c r="Y29" s="9" t="n">
        <f aca="false">IF(P29="","",IF(P29&lt;=$B$4,N(V29)+N(W29),0))</f>
        <v>0</v>
      </c>
    </row>
    <row r="30" customFormat="false" ht="15" hidden="false" customHeight="false" outlineLevel="0" collapsed="false">
      <c r="A30" s="10" t="s">
        <v>27</v>
      </c>
      <c r="B30" s="11" t="str">
        <f aca="false">IFERROR(INDEX(Summary!$B$7:$B$14,MATCH($A30,Summary!$A$7:$A$14,0)),"")</f>
        <v>TX</v>
      </c>
      <c r="C30" s="10" t="s">
        <v>27</v>
      </c>
      <c r="D30" s="10" t="n">
        <v>44</v>
      </c>
      <c r="E30" s="19" t="n">
        <v>45716</v>
      </c>
      <c r="F30" s="10" t="s">
        <v>134</v>
      </c>
      <c r="G30" s="10"/>
      <c r="H30" s="9" t="n">
        <v>644</v>
      </c>
      <c r="I30" s="10" t="s">
        <v>135</v>
      </c>
      <c r="J30" s="10" t="s">
        <v>84</v>
      </c>
      <c r="K30" s="20" t="n">
        <f aca="false">IF(E30="","",($B$4-E30)/365.25)</f>
        <v>1.60164271047228</v>
      </c>
      <c r="L30" s="10" t="str">
        <f aca="false">IF(K30="","no date",IF(K30&lt;1,"0-1 yrs",IF(K30&lt;2,"1-2 yrs",IF(K30&lt;3,"2-3 yrs",IF(K30&lt;5,"3-5 yrs","5+ yrs")))))</f>
        <v>1-2 yrs</v>
      </c>
      <c r="M30" s="10" t="s">
        <v>123</v>
      </c>
      <c r="N30" s="11" t="n">
        <f aca="false">IFERROR(INDEX('State Rules'!$C$5:$C$11,MATCH($B30,'State Rules'!$A$5:$A$11,0)),"")</f>
        <v>1</v>
      </c>
      <c r="O30" s="19" t="n">
        <f aca="false">IF(OR(N30="",E30=""),"",EDATE(E30,12*N30))</f>
        <v>46081</v>
      </c>
      <c r="P30" s="19" t="n">
        <f aca="false">IF(E30="","",IFERROR(EDATE(E30,12*INDEX('State Rules'!$E$5:$E$11,MATCH($B30,'State Rules'!$A$5:$A$11,0))),""))</f>
        <v>46811</v>
      </c>
      <c r="Q30" s="10" t="str">
        <f aca="false">IF(O30="","",IFERROR(IF(O30&lt;=INDEX('State Rules'!$I$5:$I$11,MATCH($B30,'State Rules'!$A$5:$A$11,0)),"Yes","No"),""))</f>
        <v>Yes</v>
      </c>
      <c r="R30" s="10" t="str">
        <f aca="false">IF(P30="","",IFERROR(IF(P30&lt;=INDEX('State Rules'!$I$5:$I$11,MATCH($B30,'State Rules'!$A$5:$A$11,0)),"Yes","No"),""))</f>
        <v>No</v>
      </c>
      <c r="S30" s="7"/>
      <c r="T30" s="7"/>
      <c r="U30" s="21"/>
      <c r="V30" s="21"/>
      <c r="W30" s="21"/>
      <c r="X30" s="7"/>
      <c r="Y30" s="9" t="n">
        <f aca="false">IF(P30="","",IF(P30&lt;=$B$4,N(V30)+N(W30),0))</f>
        <v>0</v>
      </c>
    </row>
    <row r="31" customFormat="false" ht="15" hidden="false" customHeight="false" outlineLevel="0" collapsed="false">
      <c r="A31" s="10" t="s">
        <v>27</v>
      </c>
      <c r="B31" s="11" t="str">
        <f aca="false">IFERROR(INDEX(Summary!$B$7:$B$14,MATCH($A31,Summary!$A$7:$A$14,0)),"")</f>
        <v>TX</v>
      </c>
      <c r="C31" s="10" t="s">
        <v>27</v>
      </c>
      <c r="D31" s="10" t="n">
        <v>45</v>
      </c>
      <c r="E31" s="19" t="n">
        <v>45740</v>
      </c>
      <c r="F31" s="10" t="s">
        <v>136</v>
      </c>
      <c r="G31" s="10"/>
      <c r="H31" s="9" t="n">
        <v>750</v>
      </c>
      <c r="I31" s="10" t="s">
        <v>137</v>
      </c>
      <c r="J31" s="10" t="s">
        <v>84</v>
      </c>
      <c r="K31" s="20" t="n">
        <f aca="false">IF(E31="","",($B$4-E31)/365.25)</f>
        <v>1.53593429158111</v>
      </c>
      <c r="L31" s="10" t="str">
        <f aca="false">IF(K31="","no date",IF(K31&lt;1,"0-1 yrs",IF(K31&lt;2,"1-2 yrs",IF(K31&lt;3,"2-3 yrs",IF(K31&lt;5,"3-5 yrs","5+ yrs")))))</f>
        <v>1-2 yrs</v>
      </c>
      <c r="M31" s="10" t="s">
        <v>85</v>
      </c>
      <c r="N31" s="11" t="n">
        <f aca="false">IFERROR(INDEX('State Rules'!$C$5:$C$11,MATCH($B31,'State Rules'!$A$5:$A$11,0)),"")</f>
        <v>1</v>
      </c>
      <c r="O31" s="19" t="n">
        <f aca="false">IF(OR(N31="",E31=""),"",EDATE(E31,12*N31))</f>
        <v>46105</v>
      </c>
      <c r="P31" s="19" t="n">
        <f aca="false">IF(E31="","",IFERROR(EDATE(E31,12*INDEX('State Rules'!$E$5:$E$11,MATCH($B31,'State Rules'!$A$5:$A$11,0))),""))</f>
        <v>46836</v>
      </c>
      <c r="Q31" s="10" t="str">
        <f aca="false">IF(O31="","",IFERROR(IF(O31&lt;=INDEX('State Rules'!$I$5:$I$11,MATCH($B31,'State Rules'!$A$5:$A$11,0)),"Yes","No"),""))</f>
        <v>Yes</v>
      </c>
      <c r="R31" s="10" t="str">
        <f aca="false">IF(P31="","",IFERROR(IF(P31&lt;=INDEX('State Rules'!$I$5:$I$11,MATCH($B31,'State Rules'!$A$5:$A$11,0)),"Yes","No"),""))</f>
        <v>No</v>
      </c>
      <c r="S31" s="7"/>
      <c r="T31" s="7"/>
      <c r="U31" s="21"/>
      <c r="V31" s="21"/>
      <c r="W31" s="21"/>
      <c r="X31" s="7"/>
      <c r="Y31" s="9" t="n">
        <f aca="false">IF(P31="","",IF(P31&lt;=$B$4,N(V31)+N(W31),0))</f>
        <v>0</v>
      </c>
    </row>
    <row r="32" customFormat="false" ht="15" hidden="false" customHeight="false" outlineLevel="0" collapsed="false">
      <c r="A32" s="10" t="s">
        <v>27</v>
      </c>
      <c r="B32" s="11" t="str">
        <f aca="false">IFERROR(INDEX(Summary!$B$7:$B$14,MATCH($A32,Summary!$A$7:$A$14,0)),"")</f>
        <v>TX</v>
      </c>
      <c r="C32" s="10" t="s">
        <v>27</v>
      </c>
      <c r="D32" s="10" t="n">
        <v>46</v>
      </c>
      <c r="E32" s="19" t="n">
        <v>45819</v>
      </c>
      <c r="F32" s="10" t="s">
        <v>138</v>
      </c>
      <c r="G32" s="10"/>
      <c r="H32" s="9" t="n">
        <v>324.75</v>
      </c>
      <c r="I32" s="10" t="s">
        <v>139</v>
      </c>
      <c r="J32" s="10" t="s">
        <v>84</v>
      </c>
      <c r="K32" s="20" t="n">
        <f aca="false">IF(E32="","",($B$4-E32)/365.25)</f>
        <v>1.31964407939767</v>
      </c>
      <c r="L32" s="10" t="str">
        <f aca="false">IF(K32="","no date",IF(K32&lt;1,"0-1 yrs",IF(K32&lt;2,"1-2 yrs",IF(K32&lt;3,"2-3 yrs",IF(K32&lt;5,"3-5 yrs","5+ yrs")))))</f>
        <v>1-2 yrs</v>
      </c>
      <c r="M32" s="10" t="s">
        <v>85</v>
      </c>
      <c r="N32" s="11" t="n">
        <f aca="false">IFERROR(INDEX('State Rules'!$C$5:$C$11,MATCH($B32,'State Rules'!$A$5:$A$11,0)),"")</f>
        <v>1</v>
      </c>
      <c r="O32" s="19" t="n">
        <f aca="false">IF(OR(N32="",E32=""),"",EDATE(E32,12*N32))</f>
        <v>46184</v>
      </c>
      <c r="P32" s="19" t="n">
        <f aca="false">IF(E32="","",IFERROR(EDATE(E32,12*INDEX('State Rules'!$E$5:$E$11,MATCH($B32,'State Rules'!$A$5:$A$11,0))),""))</f>
        <v>46915</v>
      </c>
      <c r="Q32" s="10" t="str">
        <f aca="false">IF(O32="","",IFERROR(IF(O32&lt;=INDEX('State Rules'!$I$5:$I$11,MATCH($B32,'State Rules'!$A$5:$A$11,0)),"Yes","No"),""))</f>
        <v>Yes</v>
      </c>
      <c r="R32" s="10" t="str">
        <f aca="false">IF(P32="","",IFERROR(IF(P32&lt;=INDEX('State Rules'!$I$5:$I$11,MATCH($B32,'State Rules'!$A$5:$A$11,0)),"Yes","No"),""))</f>
        <v>No</v>
      </c>
      <c r="S32" s="7"/>
      <c r="T32" s="7"/>
      <c r="U32" s="21"/>
      <c r="V32" s="21"/>
      <c r="W32" s="21"/>
      <c r="X32" s="7"/>
      <c r="Y32" s="9" t="n">
        <f aca="false">IF(P32="","",IF(P32&lt;=$B$4,N(V32)+N(W32),0))</f>
        <v>0</v>
      </c>
    </row>
    <row r="33" customFormat="false" ht="15" hidden="false" customHeight="false" outlineLevel="0" collapsed="false">
      <c r="A33" s="10" t="s">
        <v>27</v>
      </c>
      <c r="B33" s="11" t="str">
        <f aca="false">IFERROR(INDEX(Summary!$B$7:$B$14,MATCH($A33,Summary!$A$7:$A$14,0)),"")</f>
        <v>TX</v>
      </c>
      <c r="C33" s="10" t="s">
        <v>27</v>
      </c>
      <c r="D33" s="10" t="n">
        <v>47</v>
      </c>
      <c r="E33" s="19" t="n">
        <v>45831</v>
      </c>
      <c r="F33" s="10" t="s">
        <v>140</v>
      </c>
      <c r="G33" s="10"/>
      <c r="H33" s="9" t="n">
        <v>300</v>
      </c>
      <c r="I33" s="10" t="s">
        <v>141</v>
      </c>
      <c r="J33" s="10" t="s">
        <v>84</v>
      </c>
      <c r="K33" s="20" t="n">
        <f aca="false">IF(E33="","",($B$4-E33)/365.25)</f>
        <v>1.28678986995209</v>
      </c>
      <c r="L33" s="10" t="str">
        <f aca="false">IF(K33="","no date",IF(K33&lt;1,"0-1 yrs",IF(K33&lt;2,"1-2 yrs",IF(K33&lt;3,"2-3 yrs",IF(K33&lt;5,"3-5 yrs","5+ yrs")))))</f>
        <v>1-2 yrs</v>
      </c>
      <c r="M33" s="10" t="s">
        <v>85</v>
      </c>
      <c r="N33" s="11" t="n">
        <f aca="false">IFERROR(INDEX('State Rules'!$C$5:$C$11,MATCH($B33,'State Rules'!$A$5:$A$11,0)),"")</f>
        <v>1</v>
      </c>
      <c r="O33" s="19" t="n">
        <f aca="false">IF(OR(N33="",E33=""),"",EDATE(E33,12*N33))</f>
        <v>46196</v>
      </c>
      <c r="P33" s="19" t="n">
        <f aca="false">IF(E33="","",IFERROR(EDATE(E33,12*INDEX('State Rules'!$E$5:$E$11,MATCH($B33,'State Rules'!$A$5:$A$11,0))),""))</f>
        <v>46927</v>
      </c>
      <c r="Q33" s="10" t="str">
        <f aca="false">IF(O33="","",IFERROR(IF(O33&lt;=INDEX('State Rules'!$I$5:$I$11,MATCH($B33,'State Rules'!$A$5:$A$11,0)),"Yes","No"),""))</f>
        <v>Yes</v>
      </c>
      <c r="R33" s="10" t="str">
        <f aca="false">IF(P33="","",IFERROR(IF(P33&lt;=INDEX('State Rules'!$I$5:$I$11,MATCH($B33,'State Rules'!$A$5:$A$11,0)),"Yes","No"),""))</f>
        <v>No</v>
      </c>
      <c r="S33" s="7"/>
      <c r="T33" s="7"/>
      <c r="U33" s="21"/>
      <c r="V33" s="21"/>
      <c r="W33" s="21"/>
      <c r="X33" s="7"/>
      <c r="Y33" s="9" t="n">
        <f aca="false">IF(P33="","",IF(P33&lt;=$B$4,N(V33)+N(W33),0))</f>
        <v>0</v>
      </c>
    </row>
    <row r="34" customFormat="false" ht="15" hidden="false" customHeight="false" outlineLevel="0" collapsed="false">
      <c r="A34" s="10" t="s">
        <v>27</v>
      </c>
      <c r="B34" s="11" t="str">
        <f aca="false">IFERROR(INDEX(Summary!$B$7:$B$14,MATCH($A34,Summary!$A$7:$A$14,0)),"")</f>
        <v>TX</v>
      </c>
      <c r="C34" s="10" t="s">
        <v>27</v>
      </c>
      <c r="D34" s="10" t="n">
        <v>48</v>
      </c>
      <c r="E34" s="19" t="n">
        <v>45968</v>
      </c>
      <c r="F34" s="10" t="s">
        <v>142</v>
      </c>
      <c r="G34" s="10"/>
      <c r="H34" s="9" t="n">
        <v>1239</v>
      </c>
      <c r="I34" s="10"/>
      <c r="J34" s="10" t="s">
        <v>84</v>
      </c>
      <c r="K34" s="20" t="n">
        <f aca="false">IF(E34="","",($B$4-E34)/365.25)</f>
        <v>0.91170431211499</v>
      </c>
      <c r="L34" s="10" t="str">
        <f aca="false">IF(K34="","no date",IF(K34&lt;1,"0-1 yrs",IF(K34&lt;2,"1-2 yrs",IF(K34&lt;3,"2-3 yrs",IF(K34&lt;5,"3-5 yrs","5+ yrs")))))</f>
        <v>0-1 yrs</v>
      </c>
      <c r="M34" s="10" t="s">
        <v>85</v>
      </c>
      <c r="N34" s="11" t="n">
        <f aca="false">IFERROR(INDEX('State Rules'!$C$5:$C$11,MATCH($B34,'State Rules'!$A$5:$A$11,0)),"")</f>
        <v>1</v>
      </c>
      <c r="O34" s="19" t="n">
        <f aca="false">IF(OR(N34="",E34=""),"",EDATE(E34,12*N34))</f>
        <v>46333</v>
      </c>
      <c r="P34" s="19" t="n">
        <f aca="false">IF(E34="","",IFERROR(EDATE(E34,12*INDEX('State Rules'!$E$5:$E$11,MATCH($B34,'State Rules'!$A$5:$A$11,0))),""))</f>
        <v>47064</v>
      </c>
      <c r="Q34" s="10" t="str">
        <f aca="false">IF(O34="","",IFERROR(IF(O34&lt;=INDEX('State Rules'!$I$5:$I$11,MATCH($B34,'State Rules'!$A$5:$A$11,0)),"Yes","No"),""))</f>
        <v>Yes</v>
      </c>
      <c r="R34" s="10" t="str">
        <f aca="false">IF(P34="","",IFERROR(IF(P34&lt;=INDEX('State Rules'!$I$5:$I$11,MATCH($B34,'State Rules'!$A$5:$A$11,0)),"Yes","No"),""))</f>
        <v>No</v>
      </c>
      <c r="S34" s="7"/>
      <c r="T34" s="7"/>
      <c r="U34" s="21"/>
      <c r="V34" s="21"/>
      <c r="W34" s="21"/>
      <c r="X34" s="7"/>
      <c r="Y34" s="9" t="n">
        <f aca="false">IF(P34="","",IF(P34&lt;=$B$4,N(V34)+N(W34),0))</f>
        <v>0</v>
      </c>
    </row>
    <row r="35" customFormat="false" ht="15" hidden="false" customHeight="false" outlineLevel="0" collapsed="false">
      <c r="A35" s="10" t="s">
        <v>27</v>
      </c>
      <c r="B35" s="11" t="str">
        <f aca="false">IFERROR(INDEX(Summary!$B$7:$B$14,MATCH($A35,Summary!$A$7:$A$14,0)),"")</f>
        <v>TX</v>
      </c>
      <c r="C35" s="10" t="s">
        <v>27</v>
      </c>
      <c r="D35" s="10" t="n">
        <v>49</v>
      </c>
      <c r="E35" s="19" t="n">
        <v>45996</v>
      </c>
      <c r="F35" s="10" t="s">
        <v>143</v>
      </c>
      <c r="G35" s="10"/>
      <c r="H35" s="9" t="n">
        <v>800</v>
      </c>
      <c r="I35" s="10" t="s">
        <v>144</v>
      </c>
      <c r="J35" s="10" t="s">
        <v>84</v>
      </c>
      <c r="K35" s="20" t="n">
        <f aca="false">IF(E35="","",($B$4-E35)/365.25)</f>
        <v>0.835044490075291</v>
      </c>
      <c r="L35" s="10" t="str">
        <f aca="false">IF(K35="","no date",IF(K35&lt;1,"0-1 yrs",IF(K35&lt;2,"1-2 yrs",IF(K35&lt;3,"2-3 yrs",IF(K35&lt;5,"3-5 yrs","5+ yrs")))))</f>
        <v>0-1 yrs</v>
      </c>
      <c r="M35" s="10" t="s">
        <v>85</v>
      </c>
      <c r="N35" s="11" t="n">
        <f aca="false">IFERROR(INDEX('State Rules'!$C$5:$C$11,MATCH($B35,'State Rules'!$A$5:$A$11,0)),"")</f>
        <v>1</v>
      </c>
      <c r="O35" s="19" t="n">
        <f aca="false">IF(OR(N35="",E35=""),"",EDATE(E35,12*N35))</f>
        <v>46361</v>
      </c>
      <c r="P35" s="19" t="n">
        <f aca="false">IF(E35="","",IFERROR(EDATE(E35,12*INDEX('State Rules'!$E$5:$E$11,MATCH($B35,'State Rules'!$A$5:$A$11,0))),""))</f>
        <v>47092</v>
      </c>
      <c r="Q35" s="10" t="str">
        <f aca="false">IF(O35="","",IFERROR(IF(O35&lt;=INDEX('State Rules'!$I$5:$I$11,MATCH($B35,'State Rules'!$A$5:$A$11,0)),"Yes","No"),""))</f>
        <v>Yes</v>
      </c>
      <c r="R35" s="10" t="str">
        <f aca="false">IF(P35="","",IFERROR(IF(P35&lt;=INDEX('State Rules'!$I$5:$I$11,MATCH($B35,'State Rules'!$A$5:$A$11,0)),"Yes","No"),""))</f>
        <v>No</v>
      </c>
      <c r="S35" s="7"/>
      <c r="T35" s="7"/>
      <c r="U35" s="21"/>
      <c r="V35" s="21"/>
      <c r="W35" s="21"/>
      <c r="X35" s="7"/>
      <c r="Y35" s="9" t="n">
        <f aca="false">IF(P35="","",IF(P35&lt;=$B$4,N(V35)+N(W35),0))</f>
        <v>0</v>
      </c>
    </row>
    <row r="36" customFormat="false" ht="15" hidden="false" customHeight="false" outlineLevel="0" collapsed="false">
      <c r="A36" s="10" t="s">
        <v>27</v>
      </c>
      <c r="B36" s="11" t="str">
        <f aca="false">IFERROR(INDEX(Summary!$B$7:$B$14,MATCH($A36,Summary!$A$7:$A$14,0)),"")</f>
        <v>TX</v>
      </c>
      <c r="C36" s="10" t="s">
        <v>27</v>
      </c>
      <c r="D36" s="10" t="n">
        <v>50</v>
      </c>
      <c r="E36" s="19" t="n">
        <v>46000</v>
      </c>
      <c r="F36" s="10" t="s">
        <v>145</v>
      </c>
      <c r="G36" s="10"/>
      <c r="H36" s="9" t="n">
        <v>824.12</v>
      </c>
      <c r="I36" s="10"/>
      <c r="J36" s="10" t="s">
        <v>84</v>
      </c>
      <c r="K36" s="20" t="n">
        <f aca="false">IF(E36="","",($B$4-E36)/365.25)</f>
        <v>0.824093086926763</v>
      </c>
      <c r="L36" s="10" t="str">
        <f aca="false">IF(K36="","no date",IF(K36&lt;1,"0-1 yrs",IF(K36&lt;2,"1-2 yrs",IF(K36&lt;3,"2-3 yrs",IF(K36&lt;5,"3-5 yrs","5+ yrs")))))</f>
        <v>0-1 yrs</v>
      </c>
      <c r="M36" s="10" t="s">
        <v>85</v>
      </c>
      <c r="N36" s="11" t="n">
        <f aca="false">IFERROR(INDEX('State Rules'!$C$5:$C$11,MATCH($B36,'State Rules'!$A$5:$A$11,0)),"")</f>
        <v>1</v>
      </c>
      <c r="O36" s="19" t="n">
        <f aca="false">IF(OR(N36="",E36=""),"",EDATE(E36,12*N36))</f>
        <v>46365</v>
      </c>
      <c r="P36" s="19" t="n">
        <f aca="false">IF(E36="","",IFERROR(EDATE(E36,12*INDEX('State Rules'!$E$5:$E$11,MATCH($B36,'State Rules'!$A$5:$A$11,0))),""))</f>
        <v>47096</v>
      </c>
      <c r="Q36" s="10" t="str">
        <f aca="false">IF(O36="","",IFERROR(IF(O36&lt;=INDEX('State Rules'!$I$5:$I$11,MATCH($B36,'State Rules'!$A$5:$A$11,0)),"Yes","No"),""))</f>
        <v>Yes</v>
      </c>
      <c r="R36" s="10" t="str">
        <f aca="false">IF(P36="","",IFERROR(IF(P36&lt;=INDEX('State Rules'!$I$5:$I$11,MATCH($B36,'State Rules'!$A$5:$A$11,0)),"Yes","No"),""))</f>
        <v>No</v>
      </c>
      <c r="S36" s="7"/>
      <c r="T36" s="7"/>
      <c r="U36" s="21"/>
      <c r="V36" s="21"/>
      <c r="W36" s="21"/>
      <c r="X36" s="7"/>
      <c r="Y36" s="9" t="n">
        <f aca="false">IF(P36="","",IF(P36&lt;=$B$4,N(V36)+N(W36),0))</f>
        <v>0</v>
      </c>
    </row>
    <row r="37" customFormat="false" ht="15" hidden="false" customHeight="false" outlineLevel="0" collapsed="false">
      <c r="A37" s="10" t="s">
        <v>27</v>
      </c>
      <c r="B37" s="11" t="str">
        <f aca="false">IFERROR(INDEX(Summary!$B$7:$B$14,MATCH($A37,Summary!$A$7:$A$14,0)),"")</f>
        <v>TX</v>
      </c>
      <c r="C37" s="10" t="s">
        <v>27</v>
      </c>
      <c r="D37" s="10" t="n">
        <v>51</v>
      </c>
      <c r="E37" s="19" t="n">
        <v>46000</v>
      </c>
      <c r="F37" s="10" t="s">
        <v>146</v>
      </c>
      <c r="G37" s="10"/>
      <c r="H37" s="9" t="n">
        <v>1450</v>
      </c>
      <c r="I37" s="10" t="s">
        <v>147</v>
      </c>
      <c r="J37" s="10" t="s">
        <v>84</v>
      </c>
      <c r="K37" s="20" t="n">
        <f aca="false">IF(E37="","",($B$4-E37)/365.25)</f>
        <v>0.824093086926763</v>
      </c>
      <c r="L37" s="10" t="str">
        <f aca="false">IF(K37="","no date",IF(K37&lt;1,"0-1 yrs",IF(K37&lt;2,"1-2 yrs",IF(K37&lt;3,"2-3 yrs",IF(K37&lt;5,"3-5 yrs","5+ yrs")))))</f>
        <v>0-1 yrs</v>
      </c>
      <c r="M37" s="10" t="s">
        <v>85</v>
      </c>
      <c r="N37" s="11" t="n">
        <f aca="false">IFERROR(INDEX('State Rules'!$C$5:$C$11,MATCH($B37,'State Rules'!$A$5:$A$11,0)),"")</f>
        <v>1</v>
      </c>
      <c r="O37" s="19" t="n">
        <f aca="false">IF(OR(N37="",E37=""),"",EDATE(E37,12*N37))</f>
        <v>46365</v>
      </c>
      <c r="P37" s="19" t="n">
        <f aca="false">IF(E37="","",IFERROR(EDATE(E37,12*INDEX('State Rules'!$E$5:$E$11,MATCH($B37,'State Rules'!$A$5:$A$11,0))),""))</f>
        <v>47096</v>
      </c>
      <c r="Q37" s="10" t="str">
        <f aca="false">IF(O37="","",IFERROR(IF(O37&lt;=INDEX('State Rules'!$I$5:$I$11,MATCH($B37,'State Rules'!$A$5:$A$11,0)),"Yes","No"),""))</f>
        <v>Yes</v>
      </c>
      <c r="R37" s="10" t="str">
        <f aca="false">IF(P37="","",IFERROR(IF(P37&lt;=INDEX('State Rules'!$I$5:$I$11,MATCH($B37,'State Rules'!$A$5:$A$11,0)),"Yes","No"),""))</f>
        <v>No</v>
      </c>
      <c r="S37" s="7"/>
      <c r="T37" s="7"/>
      <c r="U37" s="21"/>
      <c r="V37" s="21"/>
      <c r="W37" s="21"/>
      <c r="X37" s="7"/>
      <c r="Y37" s="9" t="n">
        <f aca="false">IF(P37="","",IF(P37&lt;=$B$4,N(V37)+N(W37),0))</f>
        <v>0</v>
      </c>
    </row>
    <row r="38" customFormat="false" ht="15" hidden="false" customHeight="false" outlineLevel="0" collapsed="false">
      <c r="A38" s="10" t="s">
        <v>27</v>
      </c>
      <c r="B38" s="11" t="str">
        <f aca="false">IFERROR(INDEX(Summary!$B$7:$B$14,MATCH($A38,Summary!$A$7:$A$14,0)),"")</f>
        <v>TX</v>
      </c>
      <c r="C38" s="10" t="s">
        <v>27</v>
      </c>
      <c r="D38" s="10" t="n">
        <v>52</v>
      </c>
      <c r="E38" s="19" t="n">
        <v>46064</v>
      </c>
      <c r="F38" s="10" t="s">
        <v>148</v>
      </c>
      <c r="G38" s="10" t="s">
        <v>149</v>
      </c>
      <c r="H38" s="9" t="n">
        <v>41.87</v>
      </c>
      <c r="I38" s="10"/>
      <c r="J38" s="10" t="s">
        <v>84</v>
      </c>
      <c r="K38" s="20" t="n">
        <f aca="false">IF(E38="","",($B$4-E38)/365.25)</f>
        <v>0.648870636550308</v>
      </c>
      <c r="L38" s="10" t="str">
        <f aca="false">IF(K38="","no date",IF(K38&lt;1,"0-1 yrs",IF(K38&lt;2,"1-2 yrs",IF(K38&lt;3,"2-3 yrs",IF(K38&lt;5,"3-5 yrs","5+ yrs")))))</f>
        <v>0-1 yrs</v>
      </c>
      <c r="M38" s="10" t="s">
        <v>85</v>
      </c>
      <c r="N38" s="11" t="n">
        <f aca="false">IFERROR(INDEX('State Rules'!$C$5:$C$11,MATCH($B38,'State Rules'!$A$5:$A$11,0)),"")</f>
        <v>1</v>
      </c>
      <c r="O38" s="19" t="n">
        <f aca="false">IF(OR(N38="",E38=""),"",EDATE(E38,12*N38))</f>
        <v>46429</v>
      </c>
      <c r="P38" s="19" t="n">
        <f aca="false">IF(E38="","",IFERROR(EDATE(E38,12*INDEX('State Rules'!$E$5:$E$11,MATCH($B38,'State Rules'!$A$5:$A$11,0))),""))</f>
        <v>47160</v>
      </c>
      <c r="Q38" s="10" t="str">
        <f aca="false">IF(O38="","",IFERROR(IF(O38&lt;=INDEX('State Rules'!$I$5:$I$11,MATCH($B38,'State Rules'!$A$5:$A$11,0)),"Yes","No"),""))</f>
        <v>Yes</v>
      </c>
      <c r="R38" s="10" t="str">
        <f aca="false">IF(P38="","",IFERROR(IF(P38&lt;=INDEX('State Rules'!$I$5:$I$11,MATCH($B38,'State Rules'!$A$5:$A$11,0)),"Yes","No"),""))</f>
        <v>No</v>
      </c>
      <c r="S38" s="7"/>
      <c r="T38" s="7"/>
      <c r="U38" s="21"/>
      <c r="V38" s="21"/>
      <c r="W38" s="21"/>
      <c r="X38" s="7"/>
      <c r="Y38" s="9" t="n">
        <f aca="false">IF(P38="","",IF(P38&lt;=$B$4,N(V38)+N(W38),0))</f>
        <v>0</v>
      </c>
    </row>
    <row r="39" customFormat="false" ht="15" hidden="false" customHeight="false" outlineLevel="0" collapsed="false">
      <c r="A39" s="10" t="s">
        <v>27</v>
      </c>
      <c r="B39" s="11" t="str">
        <f aca="false">IFERROR(INDEX(Summary!$B$7:$B$14,MATCH($A39,Summary!$A$7:$A$14,0)),"")</f>
        <v>TX</v>
      </c>
      <c r="C39" s="10" t="s">
        <v>27</v>
      </c>
      <c r="D39" s="10" t="n">
        <v>53</v>
      </c>
      <c r="E39" s="19" t="n">
        <v>46134</v>
      </c>
      <c r="F39" s="10" t="s">
        <v>150</v>
      </c>
      <c r="G39" s="10" t="s">
        <v>90</v>
      </c>
      <c r="H39" s="9" t="n">
        <v>394</v>
      </c>
      <c r="I39" s="10" t="s">
        <v>151</v>
      </c>
      <c r="J39" s="10" t="s">
        <v>84</v>
      </c>
      <c r="K39" s="20" t="n">
        <f aca="false">IF(E39="","",($B$4-E39)/365.25)</f>
        <v>0.457221081451061</v>
      </c>
      <c r="L39" s="10" t="str">
        <f aca="false">IF(K39="","no date",IF(K39&lt;1,"0-1 yrs",IF(K39&lt;2,"1-2 yrs",IF(K39&lt;3,"2-3 yrs",IF(K39&lt;5,"3-5 yrs","5+ yrs")))))</f>
        <v>0-1 yrs</v>
      </c>
      <c r="M39" s="10" t="s">
        <v>85</v>
      </c>
      <c r="N39" s="11" t="n">
        <f aca="false">IFERROR(INDEX('State Rules'!$C$5:$C$11,MATCH($B39,'State Rules'!$A$5:$A$11,0)),"")</f>
        <v>1</v>
      </c>
      <c r="O39" s="19" t="n">
        <f aca="false">IF(OR(N39="",E39=""),"",EDATE(E39,12*N39))</f>
        <v>46499</v>
      </c>
      <c r="P39" s="19" t="n">
        <f aca="false">IF(E39="","",IFERROR(EDATE(E39,12*INDEX('State Rules'!$E$5:$E$11,MATCH($B39,'State Rules'!$A$5:$A$11,0))),""))</f>
        <v>47230</v>
      </c>
      <c r="Q39" s="10" t="str">
        <f aca="false">IF(O39="","",IFERROR(IF(O39&lt;=INDEX('State Rules'!$I$5:$I$11,MATCH($B39,'State Rules'!$A$5:$A$11,0)),"Yes","No"),""))</f>
        <v>No</v>
      </c>
      <c r="R39" s="10" t="str">
        <f aca="false">IF(P39="","",IFERROR(IF(P39&lt;=INDEX('State Rules'!$I$5:$I$11,MATCH($B39,'State Rules'!$A$5:$A$11,0)),"Yes","No"),""))</f>
        <v>No</v>
      </c>
      <c r="S39" s="7"/>
      <c r="T39" s="7"/>
      <c r="U39" s="21"/>
      <c r="V39" s="21"/>
      <c r="W39" s="21"/>
      <c r="X39" s="7"/>
      <c r="Y39" s="9" t="n">
        <f aca="false">IF(P39="","",IF(P39&lt;=$B$4,N(V39)+N(W39),0))</f>
        <v>0</v>
      </c>
    </row>
    <row r="40" customFormat="false" ht="15" hidden="false" customHeight="false" outlineLevel="0" collapsed="false">
      <c r="A40" s="10" t="s">
        <v>27</v>
      </c>
      <c r="B40" s="11" t="str">
        <f aca="false">IFERROR(INDEX(Summary!$B$7:$B$14,MATCH($A40,Summary!$A$7:$A$14,0)),"")</f>
        <v>TX</v>
      </c>
      <c r="C40" s="10" t="s">
        <v>27</v>
      </c>
      <c r="D40" s="10" t="n">
        <v>54</v>
      </c>
      <c r="E40" s="19" t="n">
        <v>46146</v>
      </c>
      <c r="F40" s="10" t="s">
        <v>152</v>
      </c>
      <c r="G40" s="10"/>
      <c r="H40" s="9" t="n">
        <v>540</v>
      </c>
      <c r="I40" s="10"/>
      <c r="J40" s="10" t="s">
        <v>84</v>
      </c>
      <c r="K40" s="20" t="n">
        <f aca="false">IF(E40="","",($B$4-E40)/365.25)</f>
        <v>0.424366872005476</v>
      </c>
      <c r="L40" s="10" t="str">
        <f aca="false">IF(K40="","no date",IF(K40&lt;1,"0-1 yrs",IF(K40&lt;2,"1-2 yrs",IF(K40&lt;3,"2-3 yrs",IF(K40&lt;5,"3-5 yrs","5+ yrs")))))</f>
        <v>0-1 yrs</v>
      </c>
      <c r="M40" s="10" t="s">
        <v>85</v>
      </c>
      <c r="N40" s="11" t="n">
        <f aca="false">IFERROR(INDEX('State Rules'!$C$5:$C$11,MATCH($B40,'State Rules'!$A$5:$A$11,0)),"")</f>
        <v>1</v>
      </c>
      <c r="O40" s="19" t="n">
        <f aca="false">IF(OR(N40="",E40=""),"",EDATE(E40,12*N40))</f>
        <v>46511</v>
      </c>
      <c r="P40" s="19" t="n">
        <f aca="false">IF(E40="","",IFERROR(EDATE(E40,12*INDEX('State Rules'!$E$5:$E$11,MATCH($B40,'State Rules'!$A$5:$A$11,0))),""))</f>
        <v>47242</v>
      </c>
      <c r="Q40" s="10" t="str">
        <f aca="false">IF(O40="","",IFERROR(IF(O40&lt;=INDEX('State Rules'!$I$5:$I$11,MATCH($B40,'State Rules'!$A$5:$A$11,0)),"Yes","No"),""))</f>
        <v>No</v>
      </c>
      <c r="R40" s="10" t="str">
        <f aca="false">IF(P40="","",IFERROR(IF(P40&lt;=INDEX('State Rules'!$I$5:$I$11,MATCH($B40,'State Rules'!$A$5:$A$11,0)),"Yes","No"),""))</f>
        <v>No</v>
      </c>
      <c r="S40" s="7"/>
      <c r="T40" s="7"/>
      <c r="U40" s="21"/>
      <c r="V40" s="21"/>
      <c r="W40" s="21"/>
      <c r="X40" s="7"/>
      <c r="Y40" s="9" t="n">
        <f aca="false">IF(P40="","",IF(P40&lt;=$B$4,N(V40)+N(W40),0))</f>
        <v>0</v>
      </c>
    </row>
    <row r="41" customFormat="false" ht="15" hidden="false" customHeight="false" outlineLevel="0" collapsed="false">
      <c r="A41" s="10" t="s">
        <v>27</v>
      </c>
      <c r="B41" s="11" t="str">
        <f aca="false">IFERROR(INDEX(Summary!$B$7:$B$14,MATCH($A41,Summary!$A$7:$A$14,0)),"")</f>
        <v>TX</v>
      </c>
      <c r="C41" s="10" t="s">
        <v>27</v>
      </c>
      <c r="D41" s="10" t="n">
        <v>56</v>
      </c>
      <c r="E41" s="19" t="n">
        <v>46195</v>
      </c>
      <c r="F41" s="10" t="s">
        <v>153</v>
      </c>
      <c r="G41" s="10" t="s">
        <v>154</v>
      </c>
      <c r="H41" s="9" t="n">
        <v>9761.14</v>
      </c>
      <c r="I41" s="10" t="s">
        <v>155</v>
      </c>
      <c r="J41" s="10" t="s">
        <v>84</v>
      </c>
      <c r="K41" s="20" t="n">
        <f aca="false">IF(E41="","",($B$4-E41)/365.25)</f>
        <v>0.290212183436003</v>
      </c>
      <c r="L41" s="10" t="str">
        <f aca="false">IF(K41="","no date",IF(K41&lt;1,"0-1 yrs",IF(K41&lt;2,"1-2 yrs",IF(K41&lt;3,"2-3 yrs",IF(K41&lt;5,"3-5 yrs","5+ yrs")))))</f>
        <v>0-1 yrs</v>
      </c>
      <c r="M41" s="22" t="s">
        <v>96</v>
      </c>
      <c r="N41" s="11" t="n">
        <f aca="false">IFERROR(INDEX('State Rules'!$C$5:$C$11,MATCH($B41,'State Rules'!$A$5:$A$11,0)),"")</f>
        <v>1</v>
      </c>
      <c r="O41" s="19" t="n">
        <f aca="false">IF(OR(N41="",E41=""),"",EDATE(E41,12*N41))</f>
        <v>46560</v>
      </c>
      <c r="P41" s="19" t="n">
        <f aca="false">IF(E41="","",IFERROR(EDATE(E41,12*INDEX('State Rules'!$E$5:$E$11,MATCH($B41,'State Rules'!$A$5:$A$11,0))),""))</f>
        <v>47291</v>
      </c>
      <c r="Q41" s="10" t="str">
        <f aca="false">IF(O41="","",IFERROR(IF(O41&lt;=INDEX('State Rules'!$I$5:$I$11,MATCH($B41,'State Rules'!$A$5:$A$11,0)),"Yes","No"),""))</f>
        <v>No</v>
      </c>
      <c r="R41" s="10" t="str">
        <f aca="false">IF(P41="","",IFERROR(IF(P41&lt;=INDEX('State Rules'!$I$5:$I$11,MATCH($B41,'State Rules'!$A$5:$A$11,0)),"Yes","No"),""))</f>
        <v>No</v>
      </c>
      <c r="S41" s="7"/>
      <c r="T41" s="7"/>
      <c r="U41" s="21"/>
      <c r="V41" s="21"/>
      <c r="W41" s="21"/>
      <c r="X41" s="7"/>
      <c r="Y41" s="9" t="n">
        <f aca="false">IF(P41="","",IF(P41&lt;=$B$4,N(V41)+N(W41),0))</f>
        <v>0</v>
      </c>
    </row>
    <row r="42" customFormat="false" ht="15" hidden="false" customHeight="false" outlineLevel="0" collapsed="false">
      <c r="A42" s="10" t="s">
        <v>27</v>
      </c>
      <c r="B42" s="11" t="str">
        <f aca="false">IFERROR(INDEX(Summary!$B$7:$B$14,MATCH($A42,Summary!$A$7:$A$14,0)),"")</f>
        <v>TX</v>
      </c>
      <c r="C42" s="10" t="s">
        <v>27</v>
      </c>
      <c r="D42" s="10" t="n">
        <v>57</v>
      </c>
      <c r="E42" s="19" t="n">
        <v>46202</v>
      </c>
      <c r="F42" s="10" t="s">
        <v>156</v>
      </c>
      <c r="G42" s="10" t="s">
        <v>157</v>
      </c>
      <c r="H42" s="9" t="n">
        <v>4176</v>
      </c>
      <c r="I42" s="10"/>
      <c r="J42" s="10" t="s">
        <v>84</v>
      </c>
      <c r="K42" s="20" t="n">
        <f aca="false">IF(E42="","",($B$4-E42)/365.25)</f>
        <v>0.271047227926078</v>
      </c>
      <c r="L42" s="10" t="str">
        <f aca="false">IF(K42="","no date",IF(K42&lt;1,"0-1 yrs",IF(K42&lt;2,"1-2 yrs",IF(K42&lt;3,"2-3 yrs",IF(K42&lt;5,"3-5 yrs","5+ yrs")))))</f>
        <v>0-1 yrs</v>
      </c>
      <c r="M42" s="10" t="s">
        <v>85</v>
      </c>
      <c r="N42" s="11" t="n">
        <f aca="false">IFERROR(INDEX('State Rules'!$C$5:$C$11,MATCH($B42,'State Rules'!$A$5:$A$11,0)),"")</f>
        <v>1</v>
      </c>
      <c r="O42" s="19" t="n">
        <f aca="false">IF(OR(N42="",E42=""),"",EDATE(E42,12*N42))</f>
        <v>46567</v>
      </c>
      <c r="P42" s="19" t="n">
        <f aca="false">IF(E42="","",IFERROR(EDATE(E42,12*INDEX('State Rules'!$E$5:$E$11,MATCH($B42,'State Rules'!$A$5:$A$11,0))),""))</f>
        <v>47298</v>
      </c>
      <c r="Q42" s="10" t="str">
        <f aca="false">IF(O42="","",IFERROR(IF(O42&lt;=INDEX('State Rules'!$I$5:$I$11,MATCH($B42,'State Rules'!$A$5:$A$11,0)),"Yes","No"),""))</f>
        <v>No</v>
      </c>
      <c r="R42" s="10" t="str">
        <f aca="false">IF(P42="","",IFERROR(IF(P42&lt;=INDEX('State Rules'!$I$5:$I$11,MATCH($B42,'State Rules'!$A$5:$A$11,0)),"Yes","No"),""))</f>
        <v>No</v>
      </c>
      <c r="S42" s="7"/>
      <c r="T42" s="7"/>
      <c r="U42" s="21"/>
      <c r="V42" s="21"/>
      <c r="W42" s="21"/>
      <c r="X42" s="7"/>
      <c r="Y42" s="9" t="n">
        <f aca="false">IF(P42="","",IF(P42&lt;=$B$4,N(V42)+N(W42),0))</f>
        <v>0</v>
      </c>
    </row>
    <row r="43" customFormat="false" ht="15" hidden="false" customHeight="false" outlineLevel="0" collapsed="false">
      <c r="A43" s="10" t="s">
        <v>27</v>
      </c>
      <c r="B43" s="11" t="str">
        <f aca="false">IFERROR(INDEX(Summary!$B$7:$B$14,MATCH($A43,Summary!$A$7:$A$14,0)),"")</f>
        <v>TX</v>
      </c>
      <c r="C43" s="10" t="s">
        <v>27</v>
      </c>
      <c r="D43" s="10" t="n">
        <v>58</v>
      </c>
      <c r="E43" s="19" t="n">
        <v>46213</v>
      </c>
      <c r="F43" s="10" t="s">
        <v>158</v>
      </c>
      <c r="G43" s="10" t="s">
        <v>159</v>
      </c>
      <c r="H43" s="9" t="n">
        <v>2280</v>
      </c>
      <c r="I43" s="10" t="s">
        <v>160</v>
      </c>
      <c r="J43" s="10" t="s">
        <v>84</v>
      </c>
      <c r="K43" s="20" t="n">
        <f aca="false">IF(E43="","",($B$4-E43)/365.25)</f>
        <v>0.240930869267625</v>
      </c>
      <c r="L43" s="10" t="str">
        <f aca="false">IF(K43="","no date",IF(K43&lt;1,"0-1 yrs",IF(K43&lt;2,"1-2 yrs",IF(K43&lt;3,"2-3 yrs",IF(K43&lt;5,"3-5 yrs","5+ yrs")))))</f>
        <v>0-1 yrs</v>
      </c>
      <c r="M43" s="22" t="s">
        <v>96</v>
      </c>
      <c r="N43" s="11" t="n">
        <f aca="false">IFERROR(INDEX('State Rules'!$C$5:$C$11,MATCH($B43,'State Rules'!$A$5:$A$11,0)),"")</f>
        <v>1</v>
      </c>
      <c r="O43" s="19" t="n">
        <f aca="false">IF(OR(N43="",E43=""),"",EDATE(E43,12*N43))</f>
        <v>46578</v>
      </c>
      <c r="P43" s="19" t="n">
        <f aca="false">IF(E43="","",IFERROR(EDATE(E43,12*INDEX('State Rules'!$E$5:$E$11,MATCH($B43,'State Rules'!$A$5:$A$11,0))),""))</f>
        <v>47309</v>
      </c>
      <c r="Q43" s="10" t="str">
        <f aca="false">IF(O43="","",IFERROR(IF(O43&lt;=INDEX('State Rules'!$I$5:$I$11,MATCH($B43,'State Rules'!$A$5:$A$11,0)),"Yes","No"),""))</f>
        <v>No</v>
      </c>
      <c r="R43" s="10" t="str">
        <f aca="false">IF(P43="","",IFERROR(IF(P43&lt;=INDEX('State Rules'!$I$5:$I$11,MATCH($B43,'State Rules'!$A$5:$A$11,0)),"Yes","No"),""))</f>
        <v>No</v>
      </c>
      <c r="S43" s="7"/>
      <c r="T43" s="7"/>
      <c r="U43" s="21"/>
      <c r="V43" s="21"/>
      <c r="W43" s="21"/>
      <c r="X43" s="7"/>
      <c r="Y43" s="9" t="n">
        <f aca="false">IF(P43="","",IF(P43&lt;=$B$4,N(V43)+N(W43),0))</f>
        <v>0</v>
      </c>
    </row>
    <row r="44" customFormat="false" ht="15" hidden="false" customHeight="false" outlineLevel="0" collapsed="false">
      <c r="A44" s="10" t="s">
        <v>27</v>
      </c>
      <c r="B44" s="11" t="str">
        <f aca="false">IFERROR(INDEX(Summary!$B$7:$B$14,MATCH($A44,Summary!$A$7:$A$14,0)),"")</f>
        <v>TX</v>
      </c>
      <c r="C44" s="10" t="s">
        <v>27</v>
      </c>
      <c r="D44" s="10" t="n">
        <v>59</v>
      </c>
      <c r="E44" s="19" t="n">
        <v>46216</v>
      </c>
      <c r="F44" s="10" t="s">
        <v>161</v>
      </c>
      <c r="G44" s="10" t="s">
        <v>162</v>
      </c>
      <c r="H44" s="9" t="n">
        <v>238</v>
      </c>
      <c r="I44" s="10" t="s">
        <v>163</v>
      </c>
      <c r="J44" s="10" t="s">
        <v>84</v>
      </c>
      <c r="K44" s="20" t="n">
        <f aca="false">IF(E44="","",($B$4-E44)/365.25)</f>
        <v>0.232717316906229</v>
      </c>
      <c r="L44" s="10" t="str">
        <f aca="false">IF(K44="","no date",IF(K44&lt;1,"0-1 yrs",IF(K44&lt;2,"1-2 yrs",IF(K44&lt;3,"2-3 yrs",IF(K44&lt;5,"3-5 yrs","5+ yrs")))))</f>
        <v>0-1 yrs</v>
      </c>
      <c r="M44" s="10" t="s">
        <v>85</v>
      </c>
      <c r="N44" s="11" t="n">
        <f aca="false">IFERROR(INDEX('State Rules'!$C$5:$C$11,MATCH($B44,'State Rules'!$A$5:$A$11,0)),"")</f>
        <v>1</v>
      </c>
      <c r="O44" s="19" t="n">
        <f aca="false">IF(OR(N44="",E44=""),"",EDATE(E44,12*N44))</f>
        <v>46581</v>
      </c>
      <c r="P44" s="19" t="n">
        <f aca="false">IF(E44="","",IFERROR(EDATE(E44,12*INDEX('State Rules'!$E$5:$E$11,MATCH($B44,'State Rules'!$A$5:$A$11,0))),""))</f>
        <v>47312</v>
      </c>
      <c r="Q44" s="10" t="str">
        <f aca="false">IF(O44="","",IFERROR(IF(O44&lt;=INDEX('State Rules'!$I$5:$I$11,MATCH($B44,'State Rules'!$A$5:$A$11,0)),"Yes","No"),""))</f>
        <v>No</v>
      </c>
      <c r="R44" s="10" t="str">
        <f aca="false">IF(P44="","",IFERROR(IF(P44&lt;=INDEX('State Rules'!$I$5:$I$11,MATCH($B44,'State Rules'!$A$5:$A$11,0)),"Yes","No"),""))</f>
        <v>No</v>
      </c>
      <c r="S44" s="7"/>
      <c r="T44" s="7"/>
      <c r="U44" s="21"/>
      <c r="V44" s="21"/>
      <c r="W44" s="21"/>
      <c r="X44" s="7"/>
      <c r="Y44" s="9" t="n">
        <f aca="false">IF(P44="","",IF(P44&lt;=$B$4,N(V44)+N(W44),0))</f>
        <v>0</v>
      </c>
    </row>
    <row r="45" customFormat="false" ht="15" hidden="false" customHeight="false" outlineLevel="0" collapsed="false">
      <c r="A45" s="10" t="s">
        <v>27</v>
      </c>
      <c r="B45" s="11" t="str">
        <f aca="false">IFERROR(INDEX(Summary!$B$7:$B$14,MATCH($A45,Summary!$A$7:$A$14,0)),"")</f>
        <v>TX</v>
      </c>
      <c r="C45" s="10" t="s">
        <v>27</v>
      </c>
      <c r="D45" s="10" t="n">
        <v>60</v>
      </c>
      <c r="E45" s="19" t="n">
        <v>46216</v>
      </c>
      <c r="F45" s="10" t="s">
        <v>164</v>
      </c>
      <c r="G45" s="10"/>
      <c r="H45" s="9" t="n">
        <v>89.75</v>
      </c>
      <c r="I45" s="10" t="s">
        <v>165</v>
      </c>
      <c r="J45" s="10" t="s">
        <v>84</v>
      </c>
      <c r="K45" s="20" t="n">
        <f aca="false">IF(E45="","",($B$4-E45)/365.25)</f>
        <v>0.232717316906229</v>
      </c>
      <c r="L45" s="10" t="str">
        <f aca="false">IF(K45="","no date",IF(K45&lt;1,"0-1 yrs",IF(K45&lt;2,"1-2 yrs",IF(K45&lt;3,"2-3 yrs",IF(K45&lt;5,"3-5 yrs","5+ yrs")))))</f>
        <v>0-1 yrs</v>
      </c>
      <c r="M45" s="10" t="s">
        <v>85</v>
      </c>
      <c r="N45" s="11" t="n">
        <f aca="false">IFERROR(INDEX('State Rules'!$C$5:$C$11,MATCH($B45,'State Rules'!$A$5:$A$11,0)),"")</f>
        <v>1</v>
      </c>
      <c r="O45" s="19" t="n">
        <f aca="false">IF(OR(N45="",E45=""),"",EDATE(E45,12*N45))</f>
        <v>46581</v>
      </c>
      <c r="P45" s="19" t="n">
        <f aca="false">IF(E45="","",IFERROR(EDATE(E45,12*INDEX('State Rules'!$E$5:$E$11,MATCH($B45,'State Rules'!$A$5:$A$11,0))),""))</f>
        <v>47312</v>
      </c>
      <c r="Q45" s="10" t="str">
        <f aca="false">IF(O45="","",IFERROR(IF(O45&lt;=INDEX('State Rules'!$I$5:$I$11,MATCH($B45,'State Rules'!$A$5:$A$11,0)),"Yes","No"),""))</f>
        <v>No</v>
      </c>
      <c r="R45" s="10" t="str">
        <f aca="false">IF(P45="","",IFERROR(IF(P45&lt;=INDEX('State Rules'!$I$5:$I$11,MATCH($B45,'State Rules'!$A$5:$A$11,0)),"Yes","No"),""))</f>
        <v>No</v>
      </c>
      <c r="S45" s="7"/>
      <c r="T45" s="7"/>
      <c r="U45" s="21"/>
      <c r="V45" s="21"/>
      <c r="W45" s="21"/>
      <c r="X45" s="7"/>
      <c r="Y45" s="9" t="n">
        <f aca="false">IF(P45="","",IF(P45&lt;=$B$4,N(V45)+N(W45),0))</f>
        <v>0</v>
      </c>
    </row>
    <row r="46" customFormat="false" ht="15" hidden="false" customHeight="false" outlineLevel="0" collapsed="false">
      <c r="A46" s="10" t="s">
        <v>27</v>
      </c>
      <c r="B46" s="11" t="str">
        <f aca="false">IFERROR(INDEX(Summary!$B$7:$B$14,MATCH($A46,Summary!$A$7:$A$14,0)),"")</f>
        <v>TX</v>
      </c>
      <c r="C46" s="10" t="s">
        <v>27</v>
      </c>
      <c r="D46" s="10" t="n">
        <v>61</v>
      </c>
      <c r="E46" s="19" t="n">
        <v>46223</v>
      </c>
      <c r="F46" s="10" t="s">
        <v>166</v>
      </c>
      <c r="G46" s="10" t="s">
        <v>167</v>
      </c>
      <c r="H46" s="9" t="n">
        <v>69</v>
      </c>
      <c r="I46" s="10" t="s">
        <v>168</v>
      </c>
      <c r="J46" s="10" t="s">
        <v>84</v>
      </c>
      <c r="K46" s="20" t="n">
        <f aca="false">IF(E46="","",($B$4-E46)/365.25)</f>
        <v>0.213552361396304</v>
      </c>
      <c r="L46" s="10" t="str">
        <f aca="false">IF(K46="","no date",IF(K46&lt;1,"0-1 yrs",IF(K46&lt;2,"1-2 yrs",IF(K46&lt;3,"2-3 yrs",IF(K46&lt;5,"3-5 yrs","5+ yrs")))))</f>
        <v>0-1 yrs</v>
      </c>
      <c r="M46" s="10" t="s">
        <v>85</v>
      </c>
      <c r="N46" s="11" t="n">
        <f aca="false">IFERROR(INDEX('State Rules'!$C$5:$C$11,MATCH($B46,'State Rules'!$A$5:$A$11,0)),"")</f>
        <v>1</v>
      </c>
      <c r="O46" s="19" t="n">
        <f aca="false">IF(OR(N46="",E46=""),"",EDATE(E46,12*N46))</f>
        <v>46588</v>
      </c>
      <c r="P46" s="19" t="n">
        <f aca="false">IF(E46="","",IFERROR(EDATE(E46,12*INDEX('State Rules'!$E$5:$E$11,MATCH($B46,'State Rules'!$A$5:$A$11,0))),""))</f>
        <v>47319</v>
      </c>
      <c r="Q46" s="10" t="str">
        <f aca="false">IF(O46="","",IFERROR(IF(O46&lt;=INDEX('State Rules'!$I$5:$I$11,MATCH($B46,'State Rules'!$A$5:$A$11,0)),"Yes","No"),""))</f>
        <v>No</v>
      </c>
      <c r="R46" s="10" t="str">
        <f aca="false">IF(P46="","",IFERROR(IF(P46&lt;=INDEX('State Rules'!$I$5:$I$11,MATCH($B46,'State Rules'!$A$5:$A$11,0)),"Yes","No"),""))</f>
        <v>No</v>
      </c>
      <c r="S46" s="7"/>
      <c r="T46" s="7"/>
      <c r="U46" s="21"/>
      <c r="V46" s="21"/>
      <c r="W46" s="21"/>
      <c r="X46" s="7"/>
      <c r="Y46" s="9" t="n">
        <f aca="false">IF(P46="","",IF(P46&lt;=$B$4,N(V46)+N(W46),0))</f>
        <v>0</v>
      </c>
    </row>
    <row r="47" customFormat="false" ht="15" hidden="false" customHeight="false" outlineLevel="0" collapsed="false">
      <c r="A47" s="10" t="s">
        <v>27</v>
      </c>
      <c r="B47" s="11" t="str">
        <f aca="false">IFERROR(INDEX(Summary!$B$7:$B$14,MATCH($A47,Summary!$A$7:$A$14,0)),"")</f>
        <v>TX</v>
      </c>
      <c r="C47" s="10" t="s">
        <v>27</v>
      </c>
      <c r="D47" s="10" t="n">
        <v>62</v>
      </c>
      <c r="E47" s="19" t="n">
        <v>46224</v>
      </c>
      <c r="F47" s="10" t="s">
        <v>169</v>
      </c>
      <c r="G47" s="10" t="s">
        <v>170</v>
      </c>
      <c r="H47" s="9" t="n">
        <v>6078</v>
      </c>
      <c r="I47" s="10" t="s">
        <v>171</v>
      </c>
      <c r="J47" s="10" t="s">
        <v>84</v>
      </c>
      <c r="K47" s="20" t="n">
        <f aca="false">IF(E47="","",($B$4-E47)/365.25)</f>
        <v>0.210814510609172</v>
      </c>
      <c r="L47" s="10" t="str">
        <f aca="false">IF(K47="","no date",IF(K47&lt;1,"0-1 yrs",IF(K47&lt;2,"1-2 yrs",IF(K47&lt;3,"2-3 yrs",IF(K47&lt;5,"3-5 yrs","5+ yrs")))))</f>
        <v>0-1 yrs</v>
      </c>
      <c r="M47" s="22" t="s">
        <v>96</v>
      </c>
      <c r="N47" s="11" t="n">
        <f aca="false">IFERROR(INDEX('State Rules'!$C$5:$C$11,MATCH($B47,'State Rules'!$A$5:$A$11,0)),"")</f>
        <v>1</v>
      </c>
      <c r="O47" s="19" t="n">
        <f aca="false">IF(OR(N47="",E47=""),"",EDATE(E47,12*N47))</f>
        <v>46589</v>
      </c>
      <c r="P47" s="19" t="n">
        <f aca="false">IF(E47="","",IFERROR(EDATE(E47,12*INDEX('State Rules'!$E$5:$E$11,MATCH($B47,'State Rules'!$A$5:$A$11,0))),""))</f>
        <v>47320</v>
      </c>
      <c r="Q47" s="10" t="str">
        <f aca="false">IF(O47="","",IFERROR(IF(O47&lt;=INDEX('State Rules'!$I$5:$I$11,MATCH($B47,'State Rules'!$A$5:$A$11,0)),"Yes","No"),""))</f>
        <v>No</v>
      </c>
      <c r="R47" s="10" t="str">
        <f aca="false">IF(P47="","",IFERROR(IF(P47&lt;=INDEX('State Rules'!$I$5:$I$11,MATCH($B47,'State Rules'!$A$5:$A$11,0)),"Yes","No"),""))</f>
        <v>No</v>
      </c>
      <c r="S47" s="7"/>
      <c r="T47" s="7"/>
      <c r="U47" s="21"/>
      <c r="V47" s="21"/>
      <c r="W47" s="21"/>
      <c r="X47" s="7"/>
      <c r="Y47" s="9" t="n">
        <f aca="false">IF(P47="","",IF(P47&lt;=$B$4,N(V47)+N(W47),0))</f>
        <v>0</v>
      </c>
    </row>
    <row r="48" customFormat="false" ht="15" hidden="false" customHeight="false" outlineLevel="0" collapsed="false">
      <c r="A48" s="10" t="s">
        <v>27</v>
      </c>
      <c r="B48" s="11" t="str">
        <f aca="false">IFERROR(INDEX(Summary!$B$7:$B$14,MATCH($A48,Summary!$A$7:$A$14,0)),"")</f>
        <v>TX</v>
      </c>
      <c r="C48" s="10" t="s">
        <v>27</v>
      </c>
      <c r="D48" s="10" t="n">
        <v>63</v>
      </c>
      <c r="E48" s="19" t="n">
        <v>46231</v>
      </c>
      <c r="F48" s="10" t="s">
        <v>172</v>
      </c>
      <c r="G48" s="10" t="s">
        <v>173</v>
      </c>
      <c r="H48" s="9" t="n">
        <v>701.5</v>
      </c>
      <c r="I48" s="10" t="s">
        <v>174</v>
      </c>
      <c r="J48" s="10" t="s">
        <v>84</v>
      </c>
      <c r="K48" s="20" t="n">
        <f aca="false">IF(E48="","",($B$4-E48)/365.25)</f>
        <v>0.191649555099247</v>
      </c>
      <c r="L48" s="10" t="str">
        <f aca="false">IF(K48="","no date",IF(K48&lt;1,"0-1 yrs",IF(K48&lt;2,"1-2 yrs",IF(K48&lt;3,"2-3 yrs",IF(K48&lt;5,"3-5 yrs","5+ yrs")))))</f>
        <v>0-1 yrs</v>
      </c>
      <c r="M48" s="22" t="s">
        <v>96</v>
      </c>
      <c r="N48" s="11" t="n">
        <f aca="false">IFERROR(INDEX('State Rules'!$C$5:$C$11,MATCH($B48,'State Rules'!$A$5:$A$11,0)),"")</f>
        <v>1</v>
      </c>
      <c r="O48" s="19" t="n">
        <f aca="false">IF(OR(N48="",E48=""),"",EDATE(E48,12*N48))</f>
        <v>46596</v>
      </c>
      <c r="P48" s="19" t="n">
        <f aca="false">IF(E48="","",IFERROR(EDATE(E48,12*INDEX('State Rules'!$E$5:$E$11,MATCH($B48,'State Rules'!$A$5:$A$11,0))),""))</f>
        <v>47327</v>
      </c>
      <c r="Q48" s="10" t="str">
        <f aca="false">IF(O48="","",IFERROR(IF(O48&lt;=INDEX('State Rules'!$I$5:$I$11,MATCH($B48,'State Rules'!$A$5:$A$11,0)),"Yes","No"),""))</f>
        <v>No</v>
      </c>
      <c r="R48" s="10" t="str">
        <f aca="false">IF(P48="","",IFERROR(IF(P48&lt;=INDEX('State Rules'!$I$5:$I$11,MATCH($B48,'State Rules'!$A$5:$A$11,0)),"Yes","No"),""))</f>
        <v>No</v>
      </c>
      <c r="S48" s="7"/>
      <c r="T48" s="7"/>
      <c r="U48" s="21"/>
      <c r="V48" s="21"/>
      <c r="W48" s="21"/>
      <c r="X48" s="7"/>
      <c r="Y48" s="9" t="n">
        <f aca="false">IF(P48="","",IF(P48&lt;=$B$4,N(V48)+N(W48),0))</f>
        <v>0</v>
      </c>
    </row>
    <row r="49" customFormat="false" ht="15" hidden="false" customHeight="false" outlineLevel="0" collapsed="false">
      <c r="A49" s="10" t="s">
        <v>27</v>
      </c>
      <c r="B49" s="11" t="str">
        <f aca="false">IFERROR(INDEX(Summary!$B$7:$B$14,MATCH($A49,Summary!$A$7:$A$14,0)),"")</f>
        <v>TX</v>
      </c>
      <c r="C49" s="10" t="s">
        <v>27</v>
      </c>
      <c r="D49" s="10" t="n">
        <v>66</v>
      </c>
      <c r="E49" s="19" t="n">
        <v>46241</v>
      </c>
      <c r="F49" s="10" t="s">
        <v>175</v>
      </c>
      <c r="G49" s="10" t="s">
        <v>176</v>
      </c>
      <c r="H49" s="9" t="n">
        <v>532.5</v>
      </c>
      <c r="I49" s="10"/>
      <c r="J49" s="10" t="s">
        <v>84</v>
      </c>
      <c r="K49" s="20" t="n">
        <f aca="false">IF(E49="","",($B$4-E49)/365.25)</f>
        <v>0.164271047227926</v>
      </c>
      <c r="L49" s="10" t="str">
        <f aca="false">IF(K49="","no date",IF(K49&lt;1,"0-1 yrs",IF(K49&lt;2,"1-2 yrs",IF(K49&lt;3,"2-3 yrs",IF(K49&lt;5,"3-5 yrs","5+ yrs")))))</f>
        <v>0-1 yrs</v>
      </c>
      <c r="M49" s="10" t="s">
        <v>85</v>
      </c>
      <c r="N49" s="11" t="n">
        <f aca="false">IFERROR(INDEX('State Rules'!$C$5:$C$11,MATCH($B49,'State Rules'!$A$5:$A$11,0)),"")</f>
        <v>1</v>
      </c>
      <c r="O49" s="19" t="n">
        <f aca="false">IF(OR(N49="",E49=""),"",EDATE(E49,12*N49))</f>
        <v>46606</v>
      </c>
      <c r="P49" s="19" t="n">
        <f aca="false">IF(E49="","",IFERROR(EDATE(E49,12*INDEX('State Rules'!$E$5:$E$11,MATCH($B49,'State Rules'!$A$5:$A$11,0))),""))</f>
        <v>47337</v>
      </c>
      <c r="Q49" s="10" t="str">
        <f aca="false">IF(O49="","",IFERROR(IF(O49&lt;=INDEX('State Rules'!$I$5:$I$11,MATCH($B49,'State Rules'!$A$5:$A$11,0)),"Yes","No"),""))</f>
        <v>No</v>
      </c>
      <c r="R49" s="10" t="str">
        <f aca="false">IF(P49="","",IFERROR(IF(P49&lt;=INDEX('State Rules'!$I$5:$I$11,MATCH($B49,'State Rules'!$A$5:$A$11,0)),"Yes","No"),""))</f>
        <v>No</v>
      </c>
      <c r="S49" s="7"/>
      <c r="T49" s="7"/>
      <c r="U49" s="21"/>
      <c r="V49" s="21"/>
      <c r="W49" s="21"/>
      <c r="X49" s="7"/>
      <c r="Y49" s="9" t="n">
        <f aca="false">IF(P49="","",IF(P49&lt;=$B$4,N(V49)+N(W49),0))</f>
        <v>0</v>
      </c>
    </row>
    <row r="50" customFormat="false" ht="15" hidden="false" customHeight="false" outlineLevel="0" collapsed="false">
      <c r="A50" s="10" t="s">
        <v>27</v>
      </c>
      <c r="B50" s="11" t="str">
        <f aca="false">IFERROR(INDEX(Summary!$B$7:$B$14,MATCH($A50,Summary!$A$7:$A$14,0)),"")</f>
        <v>TX</v>
      </c>
      <c r="C50" s="10" t="s">
        <v>27</v>
      </c>
      <c r="D50" s="10" t="n">
        <v>67</v>
      </c>
      <c r="E50" s="19" t="n">
        <v>46244</v>
      </c>
      <c r="F50" s="10" t="s">
        <v>177</v>
      </c>
      <c r="G50" s="10" t="s">
        <v>178</v>
      </c>
      <c r="H50" s="9" t="n">
        <v>2691</v>
      </c>
      <c r="I50" s="10" t="s">
        <v>179</v>
      </c>
      <c r="J50" s="10" t="s">
        <v>84</v>
      </c>
      <c r="K50" s="20" t="n">
        <f aca="false">IF(E50="","",($B$4-E50)/365.25)</f>
        <v>0.15605749486653</v>
      </c>
      <c r="L50" s="10" t="str">
        <f aca="false">IF(K50="","no date",IF(K50&lt;1,"0-1 yrs",IF(K50&lt;2,"1-2 yrs",IF(K50&lt;3,"2-3 yrs",IF(K50&lt;5,"3-5 yrs","5+ yrs")))))</f>
        <v>0-1 yrs</v>
      </c>
      <c r="M50" s="10" t="s">
        <v>85</v>
      </c>
      <c r="N50" s="11" t="n">
        <f aca="false">IFERROR(INDEX('State Rules'!$C$5:$C$11,MATCH($B50,'State Rules'!$A$5:$A$11,0)),"")</f>
        <v>1</v>
      </c>
      <c r="O50" s="19" t="n">
        <f aca="false">IF(OR(N50="",E50=""),"",EDATE(E50,12*N50))</f>
        <v>46609</v>
      </c>
      <c r="P50" s="19" t="n">
        <f aca="false">IF(E50="","",IFERROR(EDATE(E50,12*INDEX('State Rules'!$E$5:$E$11,MATCH($B50,'State Rules'!$A$5:$A$11,0))),""))</f>
        <v>47340</v>
      </c>
      <c r="Q50" s="10" t="str">
        <f aca="false">IF(O50="","",IFERROR(IF(O50&lt;=INDEX('State Rules'!$I$5:$I$11,MATCH($B50,'State Rules'!$A$5:$A$11,0)),"Yes","No"),""))</f>
        <v>No</v>
      </c>
      <c r="R50" s="10" t="str">
        <f aca="false">IF(P50="","",IFERROR(IF(P50&lt;=INDEX('State Rules'!$I$5:$I$11,MATCH($B50,'State Rules'!$A$5:$A$11,0)),"Yes","No"),""))</f>
        <v>No</v>
      </c>
      <c r="S50" s="7"/>
      <c r="T50" s="7"/>
      <c r="U50" s="21"/>
      <c r="V50" s="21"/>
      <c r="W50" s="21"/>
      <c r="X50" s="7"/>
      <c r="Y50" s="9" t="n">
        <f aca="false">IF(P50="","",IF(P50&lt;=$B$4,N(V50)+N(W50),0))</f>
        <v>0</v>
      </c>
    </row>
    <row r="51" customFormat="false" ht="15" hidden="false" customHeight="false" outlineLevel="0" collapsed="false">
      <c r="A51" s="10" t="s">
        <v>27</v>
      </c>
      <c r="B51" s="11" t="str">
        <f aca="false">IFERROR(INDEX(Summary!$B$7:$B$14,MATCH($A51,Summary!$A$7:$A$14,0)),"")</f>
        <v>TX</v>
      </c>
      <c r="C51" s="10" t="s">
        <v>27</v>
      </c>
      <c r="D51" s="10" t="n">
        <v>68</v>
      </c>
      <c r="E51" s="19" t="n">
        <v>46245</v>
      </c>
      <c r="F51" s="10" t="s">
        <v>180</v>
      </c>
      <c r="G51" s="10" t="s">
        <v>181</v>
      </c>
      <c r="H51" s="9" t="n">
        <v>1000</v>
      </c>
      <c r="I51" s="10" t="s">
        <v>182</v>
      </c>
      <c r="J51" s="10" t="s">
        <v>84</v>
      </c>
      <c r="K51" s="20" t="n">
        <f aca="false">IF(E51="","",($B$4-E51)/365.25)</f>
        <v>0.153319644079398</v>
      </c>
      <c r="L51" s="10" t="str">
        <f aca="false">IF(K51="","no date",IF(K51&lt;1,"0-1 yrs",IF(K51&lt;2,"1-2 yrs",IF(K51&lt;3,"2-3 yrs",IF(K51&lt;5,"3-5 yrs","5+ yrs")))))</f>
        <v>0-1 yrs</v>
      </c>
      <c r="M51" s="10" t="s">
        <v>85</v>
      </c>
      <c r="N51" s="11" t="n">
        <f aca="false">IFERROR(INDEX('State Rules'!$C$5:$C$11,MATCH($B51,'State Rules'!$A$5:$A$11,0)),"")</f>
        <v>1</v>
      </c>
      <c r="O51" s="19" t="n">
        <f aca="false">IF(OR(N51="",E51=""),"",EDATE(E51,12*N51))</f>
        <v>46610</v>
      </c>
      <c r="P51" s="19" t="n">
        <f aca="false">IF(E51="","",IFERROR(EDATE(E51,12*INDEX('State Rules'!$E$5:$E$11,MATCH($B51,'State Rules'!$A$5:$A$11,0))),""))</f>
        <v>47341</v>
      </c>
      <c r="Q51" s="10" t="str">
        <f aca="false">IF(O51="","",IFERROR(IF(O51&lt;=INDEX('State Rules'!$I$5:$I$11,MATCH($B51,'State Rules'!$A$5:$A$11,0)),"Yes","No"),""))</f>
        <v>No</v>
      </c>
      <c r="R51" s="10" t="str">
        <f aca="false">IF(P51="","",IFERROR(IF(P51&lt;=INDEX('State Rules'!$I$5:$I$11,MATCH($B51,'State Rules'!$A$5:$A$11,0)),"Yes","No"),""))</f>
        <v>No</v>
      </c>
      <c r="S51" s="7"/>
      <c r="T51" s="7"/>
      <c r="U51" s="21"/>
      <c r="V51" s="21"/>
      <c r="W51" s="21"/>
      <c r="X51" s="7"/>
      <c r="Y51" s="9" t="n">
        <f aca="false">IF(P51="","",IF(P51&lt;=$B$4,N(V51)+N(W51),0))</f>
        <v>0</v>
      </c>
    </row>
    <row r="52" customFormat="false" ht="15" hidden="false" customHeight="false" outlineLevel="0" collapsed="false">
      <c r="A52" s="10" t="s">
        <v>27</v>
      </c>
      <c r="B52" s="11" t="str">
        <f aca="false">IFERROR(INDEX(Summary!$B$7:$B$14,MATCH($A52,Summary!$A$7:$A$14,0)),"")</f>
        <v>TX</v>
      </c>
      <c r="C52" s="10" t="s">
        <v>27</v>
      </c>
      <c r="D52" s="10" t="n">
        <v>72</v>
      </c>
      <c r="E52" s="19" t="n">
        <v>46255</v>
      </c>
      <c r="F52" s="10" t="s">
        <v>183</v>
      </c>
      <c r="G52" s="10" t="s">
        <v>184</v>
      </c>
      <c r="H52" s="9" t="n">
        <v>900</v>
      </c>
      <c r="I52" s="10" t="s">
        <v>185</v>
      </c>
      <c r="J52" s="10" t="s">
        <v>84</v>
      </c>
      <c r="K52" s="20" t="n">
        <f aca="false">IF(E52="","",($B$4-E52)/365.25)</f>
        <v>0.125941136208077</v>
      </c>
      <c r="L52" s="10" t="str">
        <f aca="false">IF(K52="","no date",IF(K52&lt;1,"0-1 yrs",IF(K52&lt;2,"1-2 yrs",IF(K52&lt;3,"2-3 yrs",IF(K52&lt;5,"3-5 yrs","5+ yrs")))))</f>
        <v>0-1 yrs</v>
      </c>
      <c r="M52" s="10" t="s">
        <v>85</v>
      </c>
      <c r="N52" s="11" t="n">
        <f aca="false">IFERROR(INDEX('State Rules'!$C$5:$C$11,MATCH($B52,'State Rules'!$A$5:$A$11,0)),"")</f>
        <v>1</v>
      </c>
      <c r="O52" s="19" t="n">
        <f aca="false">IF(OR(N52="",E52=""),"",EDATE(E52,12*N52))</f>
        <v>46620</v>
      </c>
      <c r="P52" s="19" t="n">
        <f aca="false">IF(E52="","",IFERROR(EDATE(E52,12*INDEX('State Rules'!$E$5:$E$11,MATCH($B52,'State Rules'!$A$5:$A$11,0))),""))</f>
        <v>47351</v>
      </c>
      <c r="Q52" s="10" t="str">
        <f aca="false">IF(O52="","",IFERROR(IF(O52&lt;=INDEX('State Rules'!$I$5:$I$11,MATCH($B52,'State Rules'!$A$5:$A$11,0)),"Yes","No"),""))</f>
        <v>No</v>
      </c>
      <c r="R52" s="10" t="str">
        <f aca="false">IF(P52="","",IFERROR(IF(P52&lt;=INDEX('State Rules'!$I$5:$I$11,MATCH($B52,'State Rules'!$A$5:$A$11,0)),"Yes","No"),""))</f>
        <v>No</v>
      </c>
      <c r="S52" s="7"/>
      <c r="T52" s="7"/>
      <c r="U52" s="21"/>
      <c r="V52" s="21"/>
      <c r="W52" s="21"/>
      <c r="X52" s="7"/>
      <c r="Y52" s="9" t="n">
        <f aca="false">IF(P52="","",IF(P52&lt;=$B$4,N(V52)+N(W52),0))</f>
        <v>0</v>
      </c>
    </row>
    <row r="53" customFormat="false" ht="15" hidden="false" customHeight="false" outlineLevel="0" collapsed="false">
      <c r="A53" s="10" t="s">
        <v>27</v>
      </c>
      <c r="B53" s="11" t="str">
        <f aca="false">IFERROR(INDEX(Summary!$B$7:$B$14,MATCH($A53,Summary!$A$7:$A$14,0)),"")</f>
        <v>TX</v>
      </c>
      <c r="C53" s="10" t="s">
        <v>27</v>
      </c>
      <c r="D53" s="10" t="n">
        <v>73</v>
      </c>
      <c r="E53" s="19" t="n">
        <v>46255</v>
      </c>
      <c r="F53" s="10" t="s">
        <v>186</v>
      </c>
      <c r="G53" s="10" t="s">
        <v>187</v>
      </c>
      <c r="H53" s="9" t="n">
        <v>875</v>
      </c>
      <c r="I53" s="10" t="s">
        <v>188</v>
      </c>
      <c r="J53" s="10" t="s">
        <v>84</v>
      </c>
      <c r="K53" s="20" t="n">
        <f aca="false">IF(E53="","",($B$4-E53)/365.25)</f>
        <v>0.125941136208077</v>
      </c>
      <c r="L53" s="10" t="str">
        <f aca="false">IF(K53="","no date",IF(K53&lt;1,"0-1 yrs",IF(K53&lt;2,"1-2 yrs",IF(K53&lt;3,"2-3 yrs",IF(K53&lt;5,"3-5 yrs","5+ yrs")))))</f>
        <v>0-1 yrs</v>
      </c>
      <c r="M53" s="10" t="s">
        <v>85</v>
      </c>
      <c r="N53" s="11" t="n">
        <f aca="false">IFERROR(INDEX('State Rules'!$C$5:$C$11,MATCH($B53,'State Rules'!$A$5:$A$11,0)),"")</f>
        <v>1</v>
      </c>
      <c r="O53" s="19" t="n">
        <f aca="false">IF(OR(N53="",E53=""),"",EDATE(E53,12*N53))</f>
        <v>46620</v>
      </c>
      <c r="P53" s="19" t="n">
        <f aca="false">IF(E53="","",IFERROR(EDATE(E53,12*INDEX('State Rules'!$E$5:$E$11,MATCH($B53,'State Rules'!$A$5:$A$11,0))),""))</f>
        <v>47351</v>
      </c>
      <c r="Q53" s="10" t="str">
        <f aca="false">IF(O53="","",IFERROR(IF(O53&lt;=INDEX('State Rules'!$I$5:$I$11,MATCH($B53,'State Rules'!$A$5:$A$11,0)),"Yes","No"),""))</f>
        <v>No</v>
      </c>
      <c r="R53" s="10" t="str">
        <f aca="false">IF(P53="","",IFERROR(IF(P53&lt;=INDEX('State Rules'!$I$5:$I$11,MATCH($B53,'State Rules'!$A$5:$A$11,0)),"Yes","No"),""))</f>
        <v>No</v>
      </c>
      <c r="S53" s="7"/>
      <c r="T53" s="7"/>
      <c r="U53" s="21"/>
      <c r="V53" s="21"/>
      <c r="W53" s="21"/>
      <c r="X53" s="7"/>
      <c r="Y53" s="9" t="n">
        <f aca="false">IF(P53="","",IF(P53&lt;=$B$4,N(V53)+N(W53),0))</f>
        <v>0</v>
      </c>
    </row>
    <row r="54" customFormat="false" ht="15" hidden="false" customHeight="false" outlineLevel="0" collapsed="false">
      <c r="A54" s="10" t="s">
        <v>27</v>
      </c>
      <c r="B54" s="11" t="str">
        <f aca="false">IFERROR(INDEX(Summary!$B$7:$B$14,MATCH($A54,Summary!$A$7:$A$14,0)),"")</f>
        <v>TX</v>
      </c>
      <c r="C54" s="10" t="s">
        <v>27</v>
      </c>
      <c r="D54" s="10" t="n">
        <v>78</v>
      </c>
      <c r="E54" s="19" t="n">
        <v>46262</v>
      </c>
      <c r="F54" s="10" t="s">
        <v>189</v>
      </c>
      <c r="G54" s="10" t="s">
        <v>190</v>
      </c>
      <c r="H54" s="9" t="n">
        <v>1400</v>
      </c>
      <c r="I54" s="10" t="s">
        <v>191</v>
      </c>
      <c r="J54" s="10" t="s">
        <v>84</v>
      </c>
      <c r="K54" s="20" t="n">
        <f aca="false">IF(E54="","",($B$4-E54)/365.25)</f>
        <v>0.106776180698152</v>
      </c>
      <c r="L54" s="10" t="str">
        <f aca="false">IF(K54="","no date",IF(K54&lt;1,"0-1 yrs",IF(K54&lt;2,"1-2 yrs",IF(K54&lt;3,"2-3 yrs",IF(K54&lt;5,"3-5 yrs","5+ yrs")))))</f>
        <v>0-1 yrs</v>
      </c>
      <c r="M54" s="10" t="s">
        <v>85</v>
      </c>
      <c r="N54" s="11" t="n">
        <f aca="false">IFERROR(INDEX('State Rules'!$C$5:$C$11,MATCH($B54,'State Rules'!$A$5:$A$11,0)),"")</f>
        <v>1</v>
      </c>
      <c r="O54" s="19" t="n">
        <f aca="false">IF(OR(N54="",E54=""),"",EDATE(E54,12*N54))</f>
        <v>46627</v>
      </c>
      <c r="P54" s="19" t="n">
        <f aca="false">IF(E54="","",IFERROR(EDATE(E54,12*INDEX('State Rules'!$E$5:$E$11,MATCH($B54,'State Rules'!$A$5:$A$11,0))),""))</f>
        <v>47358</v>
      </c>
      <c r="Q54" s="10" t="str">
        <f aca="false">IF(O54="","",IFERROR(IF(O54&lt;=INDEX('State Rules'!$I$5:$I$11,MATCH($B54,'State Rules'!$A$5:$A$11,0)),"Yes","No"),""))</f>
        <v>No</v>
      </c>
      <c r="R54" s="10" t="str">
        <f aca="false">IF(P54="","",IFERROR(IF(P54&lt;=INDEX('State Rules'!$I$5:$I$11,MATCH($B54,'State Rules'!$A$5:$A$11,0)),"Yes","No"),""))</f>
        <v>No</v>
      </c>
      <c r="S54" s="7"/>
      <c r="T54" s="7"/>
      <c r="U54" s="21"/>
      <c r="V54" s="21"/>
      <c r="W54" s="21"/>
      <c r="X54" s="7"/>
      <c r="Y54" s="9" t="n">
        <f aca="false">IF(P54="","",IF(P54&lt;=$B$4,N(V54)+N(W54),0))</f>
        <v>0</v>
      </c>
    </row>
    <row r="55" customFormat="false" ht="15" hidden="false" customHeight="false" outlineLevel="0" collapsed="false">
      <c r="A55" s="10" t="s">
        <v>27</v>
      </c>
      <c r="B55" s="11" t="str">
        <f aca="false">IFERROR(INDEX(Summary!$B$7:$B$14,MATCH($A55,Summary!$A$7:$A$14,0)),"")</f>
        <v>TX</v>
      </c>
      <c r="C55" s="10" t="s">
        <v>27</v>
      </c>
      <c r="D55" s="10" t="n">
        <v>79</v>
      </c>
      <c r="E55" s="19" t="n">
        <v>46262</v>
      </c>
      <c r="F55" s="10" t="s">
        <v>192</v>
      </c>
      <c r="G55" s="10"/>
      <c r="H55" s="9" t="n">
        <v>2936.74</v>
      </c>
      <c r="I55" s="10" t="s">
        <v>193</v>
      </c>
      <c r="J55" s="10" t="s">
        <v>84</v>
      </c>
      <c r="K55" s="20" t="n">
        <f aca="false">IF(E55="","",($B$4-E55)/365.25)</f>
        <v>0.106776180698152</v>
      </c>
      <c r="L55" s="10" t="str">
        <f aca="false">IF(K55="","no date",IF(K55&lt;1,"0-1 yrs",IF(K55&lt;2,"1-2 yrs",IF(K55&lt;3,"2-3 yrs",IF(K55&lt;5,"3-5 yrs","5+ yrs")))))</f>
        <v>0-1 yrs</v>
      </c>
      <c r="M55" s="22" t="s">
        <v>96</v>
      </c>
      <c r="N55" s="11" t="n">
        <f aca="false">IFERROR(INDEX('State Rules'!$C$5:$C$11,MATCH($B55,'State Rules'!$A$5:$A$11,0)),"")</f>
        <v>1</v>
      </c>
      <c r="O55" s="19" t="n">
        <f aca="false">IF(OR(N55="",E55=""),"",EDATE(E55,12*N55))</f>
        <v>46627</v>
      </c>
      <c r="P55" s="19" t="n">
        <f aca="false">IF(E55="","",IFERROR(EDATE(E55,12*INDEX('State Rules'!$E$5:$E$11,MATCH($B55,'State Rules'!$A$5:$A$11,0))),""))</f>
        <v>47358</v>
      </c>
      <c r="Q55" s="10" t="str">
        <f aca="false">IF(O55="","",IFERROR(IF(O55&lt;=INDEX('State Rules'!$I$5:$I$11,MATCH($B55,'State Rules'!$A$5:$A$11,0)),"Yes","No"),""))</f>
        <v>No</v>
      </c>
      <c r="R55" s="10" t="str">
        <f aca="false">IF(P55="","",IFERROR(IF(P55&lt;=INDEX('State Rules'!$I$5:$I$11,MATCH($B55,'State Rules'!$A$5:$A$11,0)),"Yes","No"),""))</f>
        <v>No</v>
      </c>
      <c r="S55" s="7"/>
      <c r="T55" s="7"/>
      <c r="U55" s="21"/>
      <c r="V55" s="21"/>
      <c r="W55" s="21"/>
      <c r="X55" s="7"/>
      <c r="Y55" s="9" t="n">
        <f aca="false">IF(P55="","",IF(P55&lt;=$B$4,N(V55)+N(W55),0))</f>
        <v>0</v>
      </c>
    </row>
    <row r="56" customFormat="false" ht="15" hidden="false" customHeight="false" outlineLevel="0" collapsed="false">
      <c r="A56" s="10" t="s">
        <v>27</v>
      </c>
      <c r="B56" s="11" t="str">
        <f aca="false">IFERROR(INDEX(Summary!$B$7:$B$14,MATCH($A56,Summary!$A$7:$A$14,0)),"")</f>
        <v>TX</v>
      </c>
      <c r="C56" s="10" t="s">
        <v>27</v>
      </c>
      <c r="D56" s="10" t="n">
        <v>80</v>
      </c>
      <c r="E56" s="19" t="n">
        <v>46265</v>
      </c>
      <c r="F56" s="10" t="s">
        <v>194</v>
      </c>
      <c r="G56" s="10" t="s">
        <v>195</v>
      </c>
      <c r="H56" s="9" t="n">
        <v>750</v>
      </c>
      <c r="I56" s="10" t="s">
        <v>196</v>
      </c>
      <c r="J56" s="10" t="s">
        <v>84</v>
      </c>
      <c r="K56" s="20" t="n">
        <f aca="false">IF(E56="","",($B$4-E56)/365.25)</f>
        <v>0.0985626283367557</v>
      </c>
      <c r="L56" s="10" t="str">
        <f aca="false">IF(K56="","no date",IF(K56&lt;1,"0-1 yrs",IF(K56&lt;2,"1-2 yrs",IF(K56&lt;3,"2-3 yrs",IF(K56&lt;5,"3-5 yrs","5+ yrs")))))</f>
        <v>0-1 yrs</v>
      </c>
      <c r="M56" s="10" t="s">
        <v>85</v>
      </c>
      <c r="N56" s="11" t="n">
        <f aca="false">IFERROR(INDEX('State Rules'!$C$5:$C$11,MATCH($B56,'State Rules'!$A$5:$A$11,0)),"")</f>
        <v>1</v>
      </c>
      <c r="O56" s="19" t="n">
        <f aca="false">IF(OR(N56="",E56=""),"",EDATE(E56,12*N56))</f>
        <v>46630</v>
      </c>
      <c r="P56" s="19" t="n">
        <f aca="false">IF(E56="","",IFERROR(EDATE(E56,12*INDEX('State Rules'!$E$5:$E$11,MATCH($B56,'State Rules'!$A$5:$A$11,0))),""))</f>
        <v>47361</v>
      </c>
      <c r="Q56" s="10" t="str">
        <f aca="false">IF(O56="","",IFERROR(IF(O56&lt;=INDEX('State Rules'!$I$5:$I$11,MATCH($B56,'State Rules'!$A$5:$A$11,0)),"Yes","No"),""))</f>
        <v>No</v>
      </c>
      <c r="R56" s="10" t="str">
        <f aca="false">IF(P56="","",IFERROR(IF(P56&lt;=INDEX('State Rules'!$I$5:$I$11,MATCH($B56,'State Rules'!$A$5:$A$11,0)),"Yes","No"),""))</f>
        <v>No</v>
      </c>
      <c r="S56" s="7"/>
      <c r="T56" s="7"/>
      <c r="U56" s="21"/>
      <c r="V56" s="21"/>
      <c r="W56" s="21"/>
      <c r="X56" s="7"/>
      <c r="Y56" s="9" t="n">
        <f aca="false">IF(P56="","",IF(P56&lt;=$B$4,N(V56)+N(W56),0))</f>
        <v>0</v>
      </c>
    </row>
    <row r="57" customFormat="false" ht="15" hidden="false" customHeight="false" outlineLevel="0" collapsed="false">
      <c r="A57" s="10" t="s">
        <v>30</v>
      </c>
      <c r="B57" s="11" t="str">
        <f aca="false">IFERROR(INDEX(Summary!$B$7:$B$14,MATCH($A57,Summary!$A$7:$A$14,0)),"")</f>
        <v>TX</v>
      </c>
      <c r="C57" s="10" t="s">
        <v>30</v>
      </c>
      <c r="D57" s="10" t="n">
        <v>21</v>
      </c>
      <c r="E57" s="19" t="n">
        <v>44592</v>
      </c>
      <c r="F57" s="10" t="s">
        <v>197</v>
      </c>
      <c r="G57" s="10"/>
      <c r="H57" s="9" t="n">
        <v>539.6</v>
      </c>
      <c r="I57" s="10"/>
      <c r="J57" s="10" t="s">
        <v>84</v>
      </c>
      <c r="K57" s="20" t="n">
        <f aca="false">IF(E57="","",($B$4-E57)/365.25)</f>
        <v>4.67898699520876</v>
      </c>
      <c r="L57" s="10" t="str">
        <f aca="false">IF(K57="","no date",IF(K57&lt;1,"0-1 yrs",IF(K57&lt;2,"1-2 yrs",IF(K57&lt;3,"2-3 yrs",IF(K57&lt;5,"3-5 yrs","5+ yrs")))))</f>
        <v>3-5 yrs</v>
      </c>
      <c r="M57" s="10" t="s">
        <v>85</v>
      </c>
      <c r="N57" s="11" t="n">
        <f aca="false">IFERROR(INDEX('State Rules'!$C$5:$C$11,MATCH($B57,'State Rules'!$A$5:$A$11,0)),"")</f>
        <v>1</v>
      </c>
      <c r="O57" s="19" t="n">
        <f aca="false">IF(OR(N57="",E57=""),"",EDATE(E57,12*N57))</f>
        <v>44957</v>
      </c>
      <c r="P57" s="19" t="n">
        <f aca="false">IF(E57="","",IFERROR(EDATE(E57,12*INDEX('State Rules'!$E$5:$E$11,MATCH($B57,'State Rules'!$A$5:$A$11,0))),""))</f>
        <v>45688</v>
      </c>
      <c r="Q57" s="10" t="str">
        <f aca="false">IF(O57="","",IFERROR(IF(O57&lt;=INDEX('State Rules'!$I$5:$I$11,MATCH($B57,'State Rules'!$A$5:$A$11,0)),"Yes","No"),""))</f>
        <v>Yes</v>
      </c>
      <c r="R57" s="10" t="str">
        <f aca="false">IF(P57="","",IFERROR(IF(P57&lt;=INDEX('State Rules'!$I$5:$I$11,MATCH($B57,'State Rules'!$A$5:$A$11,0)),"Yes","No"),""))</f>
        <v>Yes</v>
      </c>
      <c r="S57" s="7"/>
      <c r="T57" s="7"/>
      <c r="U57" s="21"/>
      <c r="V57" s="21"/>
      <c r="W57" s="21"/>
      <c r="X57" s="7"/>
      <c r="Y57" s="9" t="n">
        <f aca="false">IF(P57="","",IF(P57&lt;=$B$4,N(V57)+N(W57),0))</f>
        <v>0</v>
      </c>
    </row>
    <row r="58" customFormat="false" ht="15" hidden="false" customHeight="false" outlineLevel="0" collapsed="false">
      <c r="A58" s="10" t="s">
        <v>30</v>
      </c>
      <c r="B58" s="11" t="str">
        <f aca="false">IFERROR(INDEX(Summary!$B$7:$B$14,MATCH($A58,Summary!$A$7:$A$14,0)),"")</f>
        <v>TX</v>
      </c>
      <c r="C58" s="10" t="s">
        <v>30</v>
      </c>
      <c r="D58" s="10" t="n">
        <v>22</v>
      </c>
      <c r="E58" s="19" t="n">
        <v>44649</v>
      </c>
      <c r="F58" s="10" t="s">
        <v>198</v>
      </c>
      <c r="G58" s="10"/>
      <c r="H58" s="9" t="n">
        <v>300</v>
      </c>
      <c r="I58" s="10"/>
      <c r="J58" s="10" t="s">
        <v>84</v>
      </c>
      <c r="K58" s="20" t="n">
        <f aca="false">IF(E58="","",($B$4-E58)/365.25)</f>
        <v>4.52292950034223</v>
      </c>
      <c r="L58" s="10" t="str">
        <f aca="false">IF(K58="","no date",IF(K58&lt;1,"0-1 yrs",IF(K58&lt;2,"1-2 yrs",IF(K58&lt;3,"2-3 yrs",IF(K58&lt;5,"3-5 yrs","5+ yrs")))))</f>
        <v>3-5 yrs</v>
      </c>
      <c r="M58" s="10" t="s">
        <v>85</v>
      </c>
      <c r="N58" s="11" t="n">
        <f aca="false">IFERROR(INDEX('State Rules'!$C$5:$C$11,MATCH($B58,'State Rules'!$A$5:$A$11,0)),"")</f>
        <v>1</v>
      </c>
      <c r="O58" s="19" t="n">
        <f aca="false">IF(OR(N58="",E58=""),"",EDATE(E58,12*N58))</f>
        <v>45014</v>
      </c>
      <c r="P58" s="19" t="n">
        <f aca="false">IF(E58="","",IFERROR(EDATE(E58,12*INDEX('State Rules'!$E$5:$E$11,MATCH($B58,'State Rules'!$A$5:$A$11,0))),""))</f>
        <v>45745</v>
      </c>
      <c r="Q58" s="10" t="str">
        <f aca="false">IF(O58="","",IFERROR(IF(O58&lt;=INDEX('State Rules'!$I$5:$I$11,MATCH($B58,'State Rules'!$A$5:$A$11,0)),"Yes","No"),""))</f>
        <v>Yes</v>
      </c>
      <c r="R58" s="10" t="str">
        <f aca="false">IF(P58="","",IFERROR(IF(P58&lt;=INDEX('State Rules'!$I$5:$I$11,MATCH($B58,'State Rules'!$A$5:$A$11,0)),"Yes","No"),""))</f>
        <v>Yes</v>
      </c>
      <c r="S58" s="7"/>
      <c r="T58" s="7"/>
      <c r="U58" s="21"/>
      <c r="V58" s="21"/>
      <c r="W58" s="21"/>
      <c r="X58" s="7"/>
      <c r="Y58" s="9" t="n">
        <f aca="false">IF(P58="","",IF(P58&lt;=$B$4,N(V58)+N(W58),0))</f>
        <v>0</v>
      </c>
    </row>
    <row r="59" customFormat="false" ht="15" hidden="false" customHeight="false" outlineLevel="0" collapsed="false">
      <c r="A59" s="10" t="s">
        <v>30</v>
      </c>
      <c r="B59" s="11" t="str">
        <f aca="false">IFERROR(INDEX(Summary!$B$7:$B$14,MATCH($A59,Summary!$A$7:$A$14,0)),"")</f>
        <v>TX</v>
      </c>
      <c r="C59" s="10" t="s">
        <v>30</v>
      </c>
      <c r="D59" s="10" t="n">
        <v>23</v>
      </c>
      <c r="E59" s="19" t="n">
        <v>44762</v>
      </c>
      <c r="F59" s="10" t="s">
        <v>199</v>
      </c>
      <c r="G59" s="10" t="s">
        <v>200</v>
      </c>
      <c r="H59" s="9" t="n">
        <v>1260</v>
      </c>
      <c r="I59" s="10" t="s">
        <v>201</v>
      </c>
      <c r="J59" s="10" t="s">
        <v>84</v>
      </c>
      <c r="K59" s="20" t="n">
        <f aca="false">IF(E59="","",($B$4-E59)/365.25)</f>
        <v>4.2135523613963</v>
      </c>
      <c r="L59" s="10" t="str">
        <f aca="false">IF(K59="","no date",IF(K59&lt;1,"0-1 yrs",IF(K59&lt;2,"1-2 yrs",IF(K59&lt;3,"2-3 yrs",IF(K59&lt;5,"3-5 yrs","5+ yrs")))))</f>
        <v>3-5 yrs</v>
      </c>
      <c r="M59" s="10" t="s">
        <v>85</v>
      </c>
      <c r="N59" s="11" t="n">
        <f aca="false">IFERROR(INDEX('State Rules'!$C$5:$C$11,MATCH($B59,'State Rules'!$A$5:$A$11,0)),"")</f>
        <v>1</v>
      </c>
      <c r="O59" s="19" t="n">
        <f aca="false">IF(OR(N59="",E59=""),"",EDATE(E59,12*N59))</f>
        <v>45127</v>
      </c>
      <c r="P59" s="19" t="n">
        <f aca="false">IF(E59="","",IFERROR(EDATE(E59,12*INDEX('State Rules'!$E$5:$E$11,MATCH($B59,'State Rules'!$A$5:$A$11,0))),""))</f>
        <v>45858</v>
      </c>
      <c r="Q59" s="10" t="str">
        <f aca="false">IF(O59="","",IFERROR(IF(O59&lt;=INDEX('State Rules'!$I$5:$I$11,MATCH($B59,'State Rules'!$A$5:$A$11,0)),"Yes","No"),""))</f>
        <v>Yes</v>
      </c>
      <c r="R59" s="10" t="str">
        <f aca="false">IF(P59="","",IFERROR(IF(P59&lt;=INDEX('State Rules'!$I$5:$I$11,MATCH($B59,'State Rules'!$A$5:$A$11,0)),"Yes","No"),""))</f>
        <v>Yes</v>
      </c>
      <c r="S59" s="7"/>
      <c r="T59" s="7"/>
      <c r="U59" s="21"/>
      <c r="V59" s="21"/>
      <c r="W59" s="21"/>
      <c r="X59" s="7"/>
      <c r="Y59" s="9" t="n">
        <f aca="false">IF(P59="","",IF(P59&lt;=$B$4,N(V59)+N(W59),0))</f>
        <v>0</v>
      </c>
    </row>
    <row r="60" customFormat="false" ht="15" hidden="false" customHeight="false" outlineLevel="0" collapsed="false">
      <c r="A60" s="10" t="s">
        <v>30</v>
      </c>
      <c r="B60" s="11" t="str">
        <f aca="false">IFERROR(INDEX(Summary!$B$7:$B$14,MATCH($A60,Summary!$A$7:$A$14,0)),"")</f>
        <v>TX</v>
      </c>
      <c r="C60" s="10" t="s">
        <v>30</v>
      </c>
      <c r="D60" s="10" t="n">
        <v>24</v>
      </c>
      <c r="E60" s="19" t="n">
        <v>44775</v>
      </c>
      <c r="F60" s="10" t="s">
        <v>202</v>
      </c>
      <c r="G60" s="10" t="s">
        <v>203</v>
      </c>
      <c r="H60" s="9" t="n">
        <v>1000</v>
      </c>
      <c r="I60" s="10" t="s">
        <v>204</v>
      </c>
      <c r="J60" s="10" t="s">
        <v>84</v>
      </c>
      <c r="K60" s="20" t="n">
        <f aca="false">IF(E60="","",($B$4-E60)/365.25)</f>
        <v>4.17796030116359</v>
      </c>
      <c r="L60" s="10" t="str">
        <f aca="false">IF(K60="","no date",IF(K60&lt;1,"0-1 yrs",IF(K60&lt;2,"1-2 yrs",IF(K60&lt;3,"2-3 yrs",IF(K60&lt;5,"3-5 yrs","5+ yrs")))))</f>
        <v>3-5 yrs</v>
      </c>
      <c r="M60" s="10" t="s">
        <v>85</v>
      </c>
      <c r="N60" s="11" t="n">
        <f aca="false">IFERROR(INDEX('State Rules'!$C$5:$C$11,MATCH($B60,'State Rules'!$A$5:$A$11,0)),"")</f>
        <v>1</v>
      </c>
      <c r="O60" s="19" t="n">
        <f aca="false">IF(OR(N60="",E60=""),"",EDATE(E60,12*N60))</f>
        <v>45140</v>
      </c>
      <c r="P60" s="19" t="n">
        <f aca="false">IF(E60="","",IFERROR(EDATE(E60,12*INDEX('State Rules'!$E$5:$E$11,MATCH($B60,'State Rules'!$A$5:$A$11,0))),""))</f>
        <v>45871</v>
      </c>
      <c r="Q60" s="10" t="str">
        <f aca="false">IF(O60="","",IFERROR(IF(O60&lt;=INDEX('State Rules'!$I$5:$I$11,MATCH($B60,'State Rules'!$A$5:$A$11,0)),"Yes","No"),""))</f>
        <v>Yes</v>
      </c>
      <c r="R60" s="10" t="str">
        <f aca="false">IF(P60="","",IFERROR(IF(P60&lt;=INDEX('State Rules'!$I$5:$I$11,MATCH($B60,'State Rules'!$A$5:$A$11,0)),"Yes","No"),""))</f>
        <v>Yes</v>
      </c>
      <c r="S60" s="7"/>
      <c r="T60" s="7"/>
      <c r="U60" s="21"/>
      <c r="V60" s="21"/>
      <c r="W60" s="21"/>
      <c r="X60" s="7"/>
      <c r="Y60" s="9" t="n">
        <f aca="false">IF(P60="","",IF(P60&lt;=$B$4,N(V60)+N(W60),0))</f>
        <v>0</v>
      </c>
    </row>
    <row r="61" customFormat="false" ht="15" hidden="false" customHeight="false" outlineLevel="0" collapsed="false">
      <c r="A61" s="10" t="s">
        <v>30</v>
      </c>
      <c r="B61" s="11" t="str">
        <f aca="false">IFERROR(INDEX(Summary!$B$7:$B$14,MATCH($A61,Summary!$A$7:$A$14,0)),"")</f>
        <v>TX</v>
      </c>
      <c r="C61" s="10" t="s">
        <v>30</v>
      </c>
      <c r="D61" s="10" t="n">
        <v>25</v>
      </c>
      <c r="E61" s="19" t="n">
        <v>45008</v>
      </c>
      <c r="F61" s="10" t="s">
        <v>205</v>
      </c>
      <c r="G61" s="10" t="s">
        <v>206</v>
      </c>
      <c r="H61" s="9" t="n">
        <v>340</v>
      </c>
      <c r="I61" s="10" t="s">
        <v>207</v>
      </c>
      <c r="J61" s="10" t="s">
        <v>84</v>
      </c>
      <c r="K61" s="20" t="n">
        <f aca="false">IF(E61="","",($B$4-E61)/365.25)</f>
        <v>3.54004106776181</v>
      </c>
      <c r="L61" s="10" t="str">
        <f aca="false">IF(K61="","no date",IF(K61&lt;1,"0-1 yrs",IF(K61&lt;2,"1-2 yrs",IF(K61&lt;3,"2-3 yrs",IF(K61&lt;5,"3-5 yrs","5+ yrs")))))</f>
        <v>3-5 yrs</v>
      </c>
      <c r="M61" s="10" t="s">
        <v>85</v>
      </c>
      <c r="N61" s="11" t="n">
        <f aca="false">IFERROR(INDEX('State Rules'!$C$5:$C$11,MATCH($B61,'State Rules'!$A$5:$A$11,0)),"")</f>
        <v>1</v>
      </c>
      <c r="O61" s="19" t="n">
        <f aca="false">IF(OR(N61="",E61=""),"",EDATE(E61,12*N61))</f>
        <v>45374</v>
      </c>
      <c r="P61" s="19" t="n">
        <f aca="false">IF(E61="","",IFERROR(EDATE(E61,12*INDEX('State Rules'!$E$5:$E$11,MATCH($B61,'State Rules'!$A$5:$A$11,0))),""))</f>
        <v>46104</v>
      </c>
      <c r="Q61" s="10" t="str">
        <f aca="false">IF(O61="","",IFERROR(IF(O61&lt;=INDEX('State Rules'!$I$5:$I$11,MATCH($B61,'State Rules'!$A$5:$A$11,0)),"Yes","No"),""))</f>
        <v>Yes</v>
      </c>
      <c r="R61" s="10" t="str">
        <f aca="false">IF(P61="","",IFERROR(IF(P61&lt;=INDEX('State Rules'!$I$5:$I$11,MATCH($B61,'State Rules'!$A$5:$A$11,0)),"Yes","No"),""))</f>
        <v>Yes</v>
      </c>
      <c r="S61" s="7"/>
      <c r="T61" s="7"/>
      <c r="U61" s="21"/>
      <c r="V61" s="21"/>
      <c r="W61" s="21"/>
      <c r="X61" s="7"/>
      <c r="Y61" s="9" t="n">
        <f aca="false">IF(P61="","",IF(P61&lt;=$B$4,N(V61)+N(W61),0))</f>
        <v>0</v>
      </c>
    </row>
    <row r="62" customFormat="false" ht="15" hidden="false" customHeight="false" outlineLevel="0" collapsed="false">
      <c r="A62" s="10" t="s">
        <v>30</v>
      </c>
      <c r="B62" s="11" t="str">
        <f aca="false">IFERROR(INDEX(Summary!$B$7:$B$14,MATCH($A62,Summary!$A$7:$A$14,0)),"")</f>
        <v>TX</v>
      </c>
      <c r="C62" s="10" t="s">
        <v>30</v>
      </c>
      <c r="D62" s="10" t="n">
        <v>26</v>
      </c>
      <c r="E62" s="19" t="n">
        <v>45008</v>
      </c>
      <c r="F62" s="10" t="s">
        <v>208</v>
      </c>
      <c r="G62" s="10" t="s">
        <v>206</v>
      </c>
      <c r="H62" s="9" t="n">
        <v>340</v>
      </c>
      <c r="I62" s="10" t="s">
        <v>207</v>
      </c>
      <c r="J62" s="10" t="s">
        <v>84</v>
      </c>
      <c r="K62" s="20" t="n">
        <f aca="false">IF(E62="","",($B$4-E62)/365.25)</f>
        <v>3.54004106776181</v>
      </c>
      <c r="L62" s="10" t="str">
        <f aca="false">IF(K62="","no date",IF(K62&lt;1,"0-1 yrs",IF(K62&lt;2,"1-2 yrs",IF(K62&lt;3,"2-3 yrs",IF(K62&lt;5,"3-5 yrs","5+ yrs")))))</f>
        <v>3-5 yrs</v>
      </c>
      <c r="M62" s="10" t="s">
        <v>85</v>
      </c>
      <c r="N62" s="11" t="n">
        <f aca="false">IFERROR(INDEX('State Rules'!$C$5:$C$11,MATCH($B62,'State Rules'!$A$5:$A$11,0)),"")</f>
        <v>1</v>
      </c>
      <c r="O62" s="19" t="n">
        <f aca="false">IF(OR(N62="",E62=""),"",EDATE(E62,12*N62))</f>
        <v>45374</v>
      </c>
      <c r="P62" s="19" t="n">
        <f aca="false">IF(E62="","",IFERROR(EDATE(E62,12*INDEX('State Rules'!$E$5:$E$11,MATCH($B62,'State Rules'!$A$5:$A$11,0))),""))</f>
        <v>46104</v>
      </c>
      <c r="Q62" s="10" t="str">
        <f aca="false">IF(O62="","",IFERROR(IF(O62&lt;=INDEX('State Rules'!$I$5:$I$11,MATCH($B62,'State Rules'!$A$5:$A$11,0)),"Yes","No"),""))</f>
        <v>Yes</v>
      </c>
      <c r="R62" s="10" t="str">
        <f aca="false">IF(P62="","",IFERROR(IF(P62&lt;=INDEX('State Rules'!$I$5:$I$11,MATCH($B62,'State Rules'!$A$5:$A$11,0)),"Yes","No"),""))</f>
        <v>Yes</v>
      </c>
      <c r="S62" s="7"/>
      <c r="T62" s="7"/>
      <c r="U62" s="21"/>
      <c r="V62" s="21"/>
      <c r="W62" s="21"/>
      <c r="X62" s="7"/>
      <c r="Y62" s="9" t="n">
        <f aca="false">IF(P62="","",IF(P62&lt;=$B$4,N(V62)+N(W62),0))</f>
        <v>0</v>
      </c>
    </row>
    <row r="63" customFormat="false" ht="15" hidden="false" customHeight="false" outlineLevel="0" collapsed="false">
      <c r="A63" s="10" t="s">
        <v>30</v>
      </c>
      <c r="B63" s="11" t="str">
        <f aca="false">IFERROR(INDEX(Summary!$B$7:$B$14,MATCH($A63,Summary!$A$7:$A$14,0)),"")</f>
        <v>TX</v>
      </c>
      <c r="C63" s="10" t="s">
        <v>30</v>
      </c>
      <c r="D63" s="10" t="n">
        <v>27</v>
      </c>
      <c r="E63" s="19" t="n">
        <v>45125</v>
      </c>
      <c r="F63" s="10" t="s">
        <v>209</v>
      </c>
      <c r="G63" s="10" t="s">
        <v>210</v>
      </c>
      <c r="H63" s="9" t="n">
        <v>1500</v>
      </c>
      <c r="I63" s="10" t="s">
        <v>211</v>
      </c>
      <c r="J63" s="10" t="s">
        <v>84</v>
      </c>
      <c r="K63" s="20" t="n">
        <f aca="false">IF(E63="","",($B$4-E63)/365.25)</f>
        <v>3.21971252566735</v>
      </c>
      <c r="L63" s="10" t="str">
        <f aca="false">IF(K63="","no date",IF(K63&lt;1,"0-1 yrs",IF(K63&lt;2,"1-2 yrs",IF(K63&lt;3,"2-3 yrs",IF(K63&lt;5,"3-5 yrs","5+ yrs")))))</f>
        <v>3-5 yrs</v>
      </c>
      <c r="M63" s="22" t="s">
        <v>96</v>
      </c>
      <c r="N63" s="11" t="n">
        <f aca="false">IFERROR(INDEX('State Rules'!$C$5:$C$11,MATCH($B63,'State Rules'!$A$5:$A$11,0)),"")</f>
        <v>1</v>
      </c>
      <c r="O63" s="19" t="n">
        <f aca="false">IF(OR(N63="",E63=""),"",EDATE(E63,12*N63))</f>
        <v>45491</v>
      </c>
      <c r="P63" s="19" t="n">
        <f aca="false">IF(E63="","",IFERROR(EDATE(E63,12*INDEX('State Rules'!$E$5:$E$11,MATCH($B63,'State Rules'!$A$5:$A$11,0))),""))</f>
        <v>46221</v>
      </c>
      <c r="Q63" s="10" t="str">
        <f aca="false">IF(O63="","",IFERROR(IF(O63&lt;=INDEX('State Rules'!$I$5:$I$11,MATCH($B63,'State Rules'!$A$5:$A$11,0)),"Yes","No"),""))</f>
        <v>Yes</v>
      </c>
      <c r="R63" s="10" t="str">
        <f aca="false">IF(P63="","",IFERROR(IF(P63&lt;=INDEX('State Rules'!$I$5:$I$11,MATCH($B63,'State Rules'!$A$5:$A$11,0)),"Yes","No"),""))</f>
        <v>Yes</v>
      </c>
      <c r="S63" s="7"/>
      <c r="T63" s="7"/>
      <c r="U63" s="21"/>
      <c r="V63" s="21"/>
      <c r="W63" s="21"/>
      <c r="X63" s="7"/>
      <c r="Y63" s="9" t="n">
        <f aca="false">IF(P63="","",IF(P63&lt;=$B$4,N(V63)+N(W63),0))</f>
        <v>0</v>
      </c>
    </row>
    <row r="64" customFormat="false" ht="15" hidden="false" customHeight="false" outlineLevel="0" collapsed="false">
      <c r="A64" s="10" t="s">
        <v>30</v>
      </c>
      <c r="B64" s="11" t="str">
        <f aca="false">IFERROR(INDEX(Summary!$B$7:$B$14,MATCH($A64,Summary!$A$7:$A$14,0)),"")</f>
        <v>TX</v>
      </c>
      <c r="C64" s="10" t="s">
        <v>30</v>
      </c>
      <c r="D64" s="10" t="n">
        <v>28</v>
      </c>
      <c r="E64" s="19" t="n">
        <v>45125</v>
      </c>
      <c r="F64" s="10" t="s">
        <v>212</v>
      </c>
      <c r="G64" s="10" t="s">
        <v>213</v>
      </c>
      <c r="H64" s="9" t="n">
        <v>357</v>
      </c>
      <c r="I64" s="10"/>
      <c r="J64" s="10" t="s">
        <v>84</v>
      </c>
      <c r="K64" s="20" t="n">
        <f aca="false">IF(E64="","",($B$4-E64)/365.25)</f>
        <v>3.21971252566735</v>
      </c>
      <c r="L64" s="10" t="str">
        <f aca="false">IF(K64="","no date",IF(K64&lt;1,"0-1 yrs",IF(K64&lt;2,"1-2 yrs",IF(K64&lt;3,"2-3 yrs",IF(K64&lt;5,"3-5 yrs","5+ yrs")))))</f>
        <v>3-5 yrs</v>
      </c>
      <c r="M64" s="10" t="s">
        <v>85</v>
      </c>
      <c r="N64" s="11" t="n">
        <f aca="false">IFERROR(INDEX('State Rules'!$C$5:$C$11,MATCH($B64,'State Rules'!$A$5:$A$11,0)),"")</f>
        <v>1</v>
      </c>
      <c r="O64" s="19" t="n">
        <f aca="false">IF(OR(N64="",E64=""),"",EDATE(E64,12*N64))</f>
        <v>45491</v>
      </c>
      <c r="P64" s="19" t="n">
        <f aca="false">IF(E64="","",IFERROR(EDATE(E64,12*INDEX('State Rules'!$E$5:$E$11,MATCH($B64,'State Rules'!$A$5:$A$11,0))),""))</f>
        <v>46221</v>
      </c>
      <c r="Q64" s="10" t="str">
        <f aca="false">IF(O64="","",IFERROR(IF(O64&lt;=INDEX('State Rules'!$I$5:$I$11,MATCH($B64,'State Rules'!$A$5:$A$11,0)),"Yes","No"),""))</f>
        <v>Yes</v>
      </c>
      <c r="R64" s="10" t="str">
        <f aca="false">IF(P64="","",IFERROR(IF(P64&lt;=INDEX('State Rules'!$I$5:$I$11,MATCH($B64,'State Rules'!$A$5:$A$11,0)),"Yes","No"),""))</f>
        <v>Yes</v>
      </c>
      <c r="S64" s="7"/>
      <c r="T64" s="7"/>
      <c r="U64" s="21"/>
      <c r="V64" s="21"/>
      <c r="W64" s="21"/>
      <c r="X64" s="7"/>
      <c r="Y64" s="9" t="n">
        <f aca="false">IF(P64="","",IF(P64&lt;=$B$4,N(V64)+N(W64),0))</f>
        <v>0</v>
      </c>
    </row>
    <row r="65" customFormat="false" ht="15" hidden="false" customHeight="false" outlineLevel="0" collapsed="false">
      <c r="A65" s="10" t="s">
        <v>30</v>
      </c>
      <c r="B65" s="11" t="str">
        <f aca="false">IFERROR(INDEX(Summary!$B$7:$B$14,MATCH($A65,Summary!$A$7:$A$14,0)),"")</f>
        <v>TX</v>
      </c>
      <c r="C65" s="10" t="s">
        <v>30</v>
      </c>
      <c r="D65" s="10" t="n">
        <v>29</v>
      </c>
      <c r="E65" s="19" t="n">
        <v>45232</v>
      </c>
      <c r="F65" s="10" t="s">
        <v>214</v>
      </c>
      <c r="G65" s="10"/>
      <c r="H65" s="9" t="n">
        <v>375</v>
      </c>
      <c r="I65" s="10" t="s">
        <v>215</v>
      </c>
      <c r="J65" s="10" t="s">
        <v>84</v>
      </c>
      <c r="K65" s="20" t="n">
        <f aca="false">IF(E65="","",($B$4-E65)/365.25)</f>
        <v>2.92676249144422</v>
      </c>
      <c r="L65" s="10" t="str">
        <f aca="false">IF(K65="","no date",IF(K65&lt;1,"0-1 yrs",IF(K65&lt;2,"1-2 yrs",IF(K65&lt;3,"2-3 yrs",IF(K65&lt;5,"3-5 yrs","5+ yrs")))))</f>
        <v>2-3 yrs</v>
      </c>
      <c r="M65" s="22" t="s">
        <v>96</v>
      </c>
      <c r="N65" s="11" t="n">
        <f aca="false">IFERROR(INDEX('State Rules'!$C$5:$C$11,MATCH($B65,'State Rules'!$A$5:$A$11,0)),"")</f>
        <v>1</v>
      </c>
      <c r="O65" s="19" t="n">
        <f aca="false">IF(OR(N65="",E65=""),"",EDATE(E65,12*N65))</f>
        <v>45598</v>
      </c>
      <c r="P65" s="19" t="n">
        <f aca="false">IF(E65="","",IFERROR(EDATE(E65,12*INDEX('State Rules'!$E$5:$E$11,MATCH($B65,'State Rules'!$A$5:$A$11,0))),""))</f>
        <v>46328</v>
      </c>
      <c r="Q65" s="10" t="str">
        <f aca="false">IF(O65="","",IFERROR(IF(O65&lt;=INDEX('State Rules'!$I$5:$I$11,MATCH($B65,'State Rules'!$A$5:$A$11,0)),"Yes","No"),""))</f>
        <v>Yes</v>
      </c>
      <c r="R65" s="10" t="str">
        <f aca="false">IF(P65="","",IFERROR(IF(P65&lt;=INDEX('State Rules'!$I$5:$I$11,MATCH($B65,'State Rules'!$A$5:$A$11,0)),"Yes","No"),""))</f>
        <v>Yes</v>
      </c>
      <c r="S65" s="7"/>
      <c r="T65" s="7"/>
      <c r="U65" s="21"/>
      <c r="V65" s="21"/>
      <c r="W65" s="21"/>
      <c r="X65" s="7"/>
      <c r="Y65" s="9" t="n">
        <f aca="false">IF(P65="","",IF(P65&lt;=$B$4,N(V65)+N(W65),0))</f>
        <v>0</v>
      </c>
    </row>
    <row r="66" customFormat="false" ht="15" hidden="false" customHeight="false" outlineLevel="0" collapsed="false">
      <c r="A66" s="10" t="s">
        <v>30</v>
      </c>
      <c r="B66" s="11" t="str">
        <f aca="false">IFERROR(INDEX(Summary!$B$7:$B$14,MATCH($A66,Summary!$A$7:$A$14,0)),"")</f>
        <v>TX</v>
      </c>
      <c r="C66" s="10" t="s">
        <v>30</v>
      </c>
      <c r="D66" s="10" t="n">
        <v>30</v>
      </c>
      <c r="E66" s="19" t="n">
        <v>45412</v>
      </c>
      <c r="F66" s="10" t="s">
        <v>216</v>
      </c>
      <c r="G66" s="10" t="s">
        <v>217</v>
      </c>
      <c r="H66" s="9" t="n">
        <v>517.5</v>
      </c>
      <c r="I66" s="10" t="s">
        <v>218</v>
      </c>
      <c r="J66" s="10" t="s">
        <v>84</v>
      </c>
      <c r="K66" s="20" t="n">
        <f aca="false">IF(E66="","",($B$4-E66)/365.25)</f>
        <v>2.43394934976044</v>
      </c>
      <c r="L66" s="10" t="str">
        <f aca="false">IF(K66="","no date",IF(K66&lt;1,"0-1 yrs",IF(K66&lt;2,"1-2 yrs",IF(K66&lt;3,"2-3 yrs",IF(K66&lt;5,"3-5 yrs","5+ yrs")))))</f>
        <v>2-3 yrs</v>
      </c>
      <c r="M66" s="10" t="s">
        <v>85</v>
      </c>
      <c r="N66" s="11" t="n">
        <f aca="false">IFERROR(INDEX('State Rules'!$C$5:$C$11,MATCH($B66,'State Rules'!$A$5:$A$11,0)),"")</f>
        <v>1</v>
      </c>
      <c r="O66" s="19" t="n">
        <f aca="false">IF(OR(N66="",E66=""),"",EDATE(E66,12*N66))</f>
        <v>45777</v>
      </c>
      <c r="P66" s="19" t="n">
        <f aca="false">IF(E66="","",IFERROR(EDATE(E66,12*INDEX('State Rules'!$E$5:$E$11,MATCH($B66,'State Rules'!$A$5:$A$11,0))),""))</f>
        <v>46507</v>
      </c>
      <c r="Q66" s="10" t="str">
        <f aca="false">IF(O66="","",IFERROR(IF(O66&lt;=INDEX('State Rules'!$I$5:$I$11,MATCH($B66,'State Rules'!$A$5:$A$11,0)),"Yes","No"),""))</f>
        <v>Yes</v>
      </c>
      <c r="R66" s="10" t="str">
        <f aca="false">IF(P66="","",IFERROR(IF(P66&lt;=INDEX('State Rules'!$I$5:$I$11,MATCH($B66,'State Rules'!$A$5:$A$11,0)),"Yes","No"),""))</f>
        <v>No</v>
      </c>
      <c r="S66" s="7"/>
      <c r="T66" s="7"/>
      <c r="U66" s="21"/>
      <c r="V66" s="21"/>
      <c r="W66" s="21"/>
      <c r="X66" s="7"/>
      <c r="Y66" s="9" t="n">
        <f aca="false">IF(P66="","",IF(P66&lt;=$B$4,N(V66)+N(W66),0))</f>
        <v>0</v>
      </c>
    </row>
    <row r="67" customFormat="false" ht="15" hidden="false" customHeight="false" outlineLevel="0" collapsed="false">
      <c r="A67" s="10" t="s">
        <v>30</v>
      </c>
      <c r="B67" s="11" t="str">
        <f aca="false">IFERROR(INDEX(Summary!$B$7:$B$14,MATCH($A67,Summary!$A$7:$A$14,0)),"")</f>
        <v>TX</v>
      </c>
      <c r="C67" s="10" t="s">
        <v>30</v>
      </c>
      <c r="D67" s="10" t="n">
        <v>31</v>
      </c>
      <c r="E67" s="19" t="n">
        <v>45432</v>
      </c>
      <c r="F67" s="10" t="s">
        <v>219</v>
      </c>
      <c r="G67" s="10" t="s">
        <v>220</v>
      </c>
      <c r="H67" s="9" t="n">
        <v>49</v>
      </c>
      <c r="I67" s="10"/>
      <c r="J67" s="10" t="s">
        <v>84</v>
      </c>
      <c r="K67" s="20" t="n">
        <f aca="false">IF(E67="","",($B$4-E67)/365.25)</f>
        <v>2.3791923340178</v>
      </c>
      <c r="L67" s="10" t="str">
        <f aca="false">IF(K67="","no date",IF(K67&lt;1,"0-1 yrs",IF(K67&lt;2,"1-2 yrs",IF(K67&lt;3,"2-3 yrs",IF(K67&lt;5,"3-5 yrs","5+ yrs")))))</f>
        <v>2-3 yrs</v>
      </c>
      <c r="M67" s="10" t="s">
        <v>123</v>
      </c>
      <c r="N67" s="11" t="n">
        <f aca="false">IFERROR(INDEX('State Rules'!$C$5:$C$11,MATCH($B67,'State Rules'!$A$5:$A$11,0)),"")</f>
        <v>1</v>
      </c>
      <c r="O67" s="19" t="n">
        <f aca="false">IF(OR(N67="",E67=""),"",EDATE(E67,12*N67))</f>
        <v>45797</v>
      </c>
      <c r="P67" s="19" t="n">
        <f aca="false">IF(E67="","",IFERROR(EDATE(E67,12*INDEX('State Rules'!$E$5:$E$11,MATCH($B67,'State Rules'!$A$5:$A$11,0))),""))</f>
        <v>46527</v>
      </c>
      <c r="Q67" s="10" t="str">
        <f aca="false">IF(O67="","",IFERROR(IF(O67&lt;=INDEX('State Rules'!$I$5:$I$11,MATCH($B67,'State Rules'!$A$5:$A$11,0)),"Yes","No"),""))</f>
        <v>Yes</v>
      </c>
      <c r="R67" s="10" t="str">
        <f aca="false">IF(P67="","",IFERROR(IF(P67&lt;=INDEX('State Rules'!$I$5:$I$11,MATCH($B67,'State Rules'!$A$5:$A$11,0)),"Yes","No"),""))</f>
        <v>No</v>
      </c>
      <c r="S67" s="7"/>
      <c r="T67" s="7"/>
      <c r="U67" s="21"/>
      <c r="V67" s="21"/>
      <c r="W67" s="21"/>
      <c r="X67" s="7"/>
      <c r="Y67" s="9" t="n">
        <f aca="false">IF(P67="","",IF(P67&lt;=$B$4,N(V67)+N(W67),0))</f>
        <v>0</v>
      </c>
    </row>
    <row r="68" customFormat="false" ht="15" hidden="false" customHeight="false" outlineLevel="0" collapsed="false">
      <c r="A68" s="10" t="s">
        <v>30</v>
      </c>
      <c r="B68" s="11" t="str">
        <f aca="false">IFERROR(INDEX(Summary!$B$7:$B$14,MATCH($A68,Summary!$A$7:$A$14,0)),"")</f>
        <v>TX</v>
      </c>
      <c r="C68" s="10" t="s">
        <v>30</v>
      </c>
      <c r="D68" s="10" t="n">
        <v>32</v>
      </c>
      <c r="E68" s="19" t="n">
        <v>45456</v>
      </c>
      <c r="F68" s="10" t="s">
        <v>221</v>
      </c>
      <c r="G68" s="10" t="s">
        <v>220</v>
      </c>
      <c r="H68" s="9" t="n">
        <v>100</v>
      </c>
      <c r="I68" s="10"/>
      <c r="J68" s="10" t="s">
        <v>84</v>
      </c>
      <c r="K68" s="20" t="n">
        <f aca="false">IF(E68="","",($B$4-E68)/365.25)</f>
        <v>2.31348391512663</v>
      </c>
      <c r="L68" s="10" t="str">
        <f aca="false">IF(K68="","no date",IF(K68&lt;1,"0-1 yrs",IF(K68&lt;2,"1-2 yrs",IF(K68&lt;3,"2-3 yrs",IF(K68&lt;5,"3-5 yrs","5+ yrs")))))</f>
        <v>2-3 yrs</v>
      </c>
      <c r="M68" s="10" t="s">
        <v>85</v>
      </c>
      <c r="N68" s="11" t="n">
        <f aca="false">IFERROR(INDEX('State Rules'!$C$5:$C$11,MATCH($B68,'State Rules'!$A$5:$A$11,0)),"")</f>
        <v>1</v>
      </c>
      <c r="O68" s="19" t="n">
        <f aca="false">IF(OR(N68="",E68=""),"",EDATE(E68,12*N68))</f>
        <v>45821</v>
      </c>
      <c r="P68" s="19" t="n">
        <f aca="false">IF(E68="","",IFERROR(EDATE(E68,12*INDEX('State Rules'!$E$5:$E$11,MATCH($B68,'State Rules'!$A$5:$A$11,0))),""))</f>
        <v>46551</v>
      </c>
      <c r="Q68" s="10" t="str">
        <f aca="false">IF(O68="","",IFERROR(IF(O68&lt;=INDEX('State Rules'!$I$5:$I$11,MATCH($B68,'State Rules'!$A$5:$A$11,0)),"Yes","No"),""))</f>
        <v>Yes</v>
      </c>
      <c r="R68" s="10" t="str">
        <f aca="false">IF(P68="","",IFERROR(IF(P68&lt;=INDEX('State Rules'!$I$5:$I$11,MATCH($B68,'State Rules'!$A$5:$A$11,0)),"Yes","No"),""))</f>
        <v>No</v>
      </c>
      <c r="S68" s="7"/>
      <c r="T68" s="7"/>
      <c r="U68" s="21"/>
      <c r="V68" s="21"/>
      <c r="W68" s="21"/>
      <c r="X68" s="7"/>
      <c r="Y68" s="9" t="n">
        <f aca="false">IF(P68="","",IF(P68&lt;=$B$4,N(V68)+N(W68),0))</f>
        <v>0</v>
      </c>
    </row>
    <row r="69" customFormat="false" ht="15" hidden="false" customHeight="false" outlineLevel="0" collapsed="false">
      <c r="A69" s="10" t="s">
        <v>30</v>
      </c>
      <c r="B69" s="11" t="str">
        <f aca="false">IFERROR(INDEX(Summary!$B$7:$B$14,MATCH($A69,Summary!$A$7:$A$14,0)),"")</f>
        <v>TX</v>
      </c>
      <c r="C69" s="10" t="s">
        <v>30</v>
      </c>
      <c r="D69" s="10" t="n">
        <v>33</v>
      </c>
      <c r="E69" s="19" t="n">
        <v>45456</v>
      </c>
      <c r="F69" s="10" t="s">
        <v>222</v>
      </c>
      <c r="G69" s="10" t="s">
        <v>220</v>
      </c>
      <c r="H69" s="9" t="n">
        <v>644</v>
      </c>
      <c r="I69" s="10"/>
      <c r="J69" s="10" t="s">
        <v>84</v>
      </c>
      <c r="K69" s="20" t="n">
        <f aca="false">IF(E69="","",($B$4-E69)/365.25)</f>
        <v>2.31348391512663</v>
      </c>
      <c r="L69" s="10" t="str">
        <f aca="false">IF(K69="","no date",IF(K69&lt;1,"0-1 yrs",IF(K69&lt;2,"1-2 yrs",IF(K69&lt;3,"2-3 yrs",IF(K69&lt;5,"3-5 yrs","5+ yrs")))))</f>
        <v>2-3 yrs</v>
      </c>
      <c r="M69" s="10" t="s">
        <v>123</v>
      </c>
      <c r="N69" s="11" t="n">
        <f aca="false">IFERROR(INDEX('State Rules'!$C$5:$C$11,MATCH($B69,'State Rules'!$A$5:$A$11,0)),"")</f>
        <v>1</v>
      </c>
      <c r="O69" s="19" t="n">
        <f aca="false">IF(OR(N69="",E69=""),"",EDATE(E69,12*N69))</f>
        <v>45821</v>
      </c>
      <c r="P69" s="19" t="n">
        <f aca="false">IF(E69="","",IFERROR(EDATE(E69,12*INDEX('State Rules'!$E$5:$E$11,MATCH($B69,'State Rules'!$A$5:$A$11,0))),""))</f>
        <v>46551</v>
      </c>
      <c r="Q69" s="10" t="str">
        <f aca="false">IF(O69="","",IFERROR(IF(O69&lt;=INDEX('State Rules'!$I$5:$I$11,MATCH($B69,'State Rules'!$A$5:$A$11,0)),"Yes","No"),""))</f>
        <v>Yes</v>
      </c>
      <c r="R69" s="10" t="str">
        <f aca="false">IF(P69="","",IFERROR(IF(P69&lt;=INDEX('State Rules'!$I$5:$I$11,MATCH($B69,'State Rules'!$A$5:$A$11,0)),"Yes","No"),""))</f>
        <v>No</v>
      </c>
      <c r="S69" s="7"/>
      <c r="T69" s="7"/>
      <c r="U69" s="21"/>
      <c r="V69" s="21"/>
      <c r="W69" s="21"/>
      <c r="X69" s="7"/>
      <c r="Y69" s="9" t="n">
        <f aca="false">IF(P69="","",IF(P69&lt;=$B$4,N(V69)+N(W69),0))</f>
        <v>0</v>
      </c>
    </row>
    <row r="70" customFormat="false" ht="15" hidden="false" customHeight="false" outlineLevel="0" collapsed="false">
      <c r="A70" s="10" t="s">
        <v>30</v>
      </c>
      <c r="B70" s="11" t="str">
        <f aca="false">IFERROR(INDEX(Summary!$B$7:$B$14,MATCH($A70,Summary!$A$7:$A$14,0)),"")</f>
        <v>TX</v>
      </c>
      <c r="C70" s="10" t="s">
        <v>30</v>
      </c>
      <c r="D70" s="10" t="n">
        <v>34</v>
      </c>
      <c r="E70" s="19" t="n">
        <v>45474</v>
      </c>
      <c r="F70" s="10" t="s">
        <v>223</v>
      </c>
      <c r="G70" s="10" t="s">
        <v>224</v>
      </c>
      <c r="H70" s="9" t="n">
        <v>7500</v>
      </c>
      <c r="I70" s="10"/>
      <c r="J70" s="10" t="s">
        <v>84</v>
      </c>
      <c r="K70" s="20" t="n">
        <f aca="false">IF(E70="","",($B$4-E70)/365.25)</f>
        <v>2.26420260095825</v>
      </c>
      <c r="L70" s="10" t="str">
        <f aca="false">IF(K70="","no date",IF(K70&lt;1,"0-1 yrs",IF(K70&lt;2,"1-2 yrs",IF(K70&lt;3,"2-3 yrs",IF(K70&lt;5,"3-5 yrs","5+ yrs")))))</f>
        <v>2-3 yrs</v>
      </c>
      <c r="M70" s="10" t="s">
        <v>85</v>
      </c>
      <c r="N70" s="11" t="n">
        <f aca="false">IFERROR(INDEX('State Rules'!$C$5:$C$11,MATCH($B70,'State Rules'!$A$5:$A$11,0)),"")</f>
        <v>1</v>
      </c>
      <c r="O70" s="19" t="n">
        <f aca="false">IF(OR(N70="",E70=""),"",EDATE(E70,12*N70))</f>
        <v>45839</v>
      </c>
      <c r="P70" s="19" t="n">
        <f aca="false">IF(E70="","",IFERROR(EDATE(E70,12*INDEX('State Rules'!$E$5:$E$11,MATCH($B70,'State Rules'!$A$5:$A$11,0))),""))</f>
        <v>46569</v>
      </c>
      <c r="Q70" s="10" t="str">
        <f aca="false">IF(O70="","",IFERROR(IF(O70&lt;=INDEX('State Rules'!$I$5:$I$11,MATCH($B70,'State Rules'!$A$5:$A$11,0)),"Yes","No"),""))</f>
        <v>Yes</v>
      </c>
      <c r="R70" s="10" t="str">
        <f aca="false">IF(P70="","",IFERROR(IF(P70&lt;=INDEX('State Rules'!$I$5:$I$11,MATCH($B70,'State Rules'!$A$5:$A$11,0)),"Yes","No"),""))</f>
        <v>No</v>
      </c>
      <c r="S70" s="7"/>
      <c r="T70" s="7"/>
      <c r="U70" s="21"/>
      <c r="V70" s="21"/>
      <c r="W70" s="21"/>
      <c r="X70" s="7"/>
      <c r="Y70" s="9" t="n">
        <f aca="false">IF(P70="","",IF(P70&lt;=$B$4,N(V70)+N(W70),0))</f>
        <v>0</v>
      </c>
    </row>
    <row r="71" customFormat="false" ht="15" hidden="false" customHeight="false" outlineLevel="0" collapsed="false">
      <c r="A71" s="10" t="s">
        <v>30</v>
      </c>
      <c r="B71" s="11" t="str">
        <f aca="false">IFERROR(INDEX(Summary!$B$7:$B$14,MATCH($A71,Summary!$A$7:$A$14,0)),"")</f>
        <v>TX</v>
      </c>
      <c r="C71" s="10" t="s">
        <v>30</v>
      </c>
      <c r="D71" s="10" t="n">
        <v>35</v>
      </c>
      <c r="E71" s="19" t="n">
        <v>45574</v>
      </c>
      <c r="F71" s="10" t="s">
        <v>225</v>
      </c>
      <c r="G71" s="10" t="s">
        <v>226</v>
      </c>
      <c r="H71" s="9" t="n">
        <v>495</v>
      </c>
      <c r="I71" s="10" t="s">
        <v>151</v>
      </c>
      <c r="J71" s="10" t="s">
        <v>84</v>
      </c>
      <c r="K71" s="20" t="n">
        <f aca="false">IF(E71="","",($B$4-E71)/365.25)</f>
        <v>1.99041752224504</v>
      </c>
      <c r="L71" s="10" t="str">
        <f aca="false">IF(K71="","no date",IF(K71&lt;1,"0-1 yrs",IF(K71&lt;2,"1-2 yrs",IF(K71&lt;3,"2-3 yrs",IF(K71&lt;5,"3-5 yrs","5+ yrs")))))</f>
        <v>1-2 yrs</v>
      </c>
      <c r="M71" s="10" t="s">
        <v>123</v>
      </c>
      <c r="N71" s="11" t="n">
        <f aca="false">IFERROR(INDEX('State Rules'!$C$5:$C$11,MATCH($B71,'State Rules'!$A$5:$A$11,0)),"")</f>
        <v>1</v>
      </c>
      <c r="O71" s="19" t="n">
        <f aca="false">IF(OR(N71="",E71=""),"",EDATE(E71,12*N71))</f>
        <v>45939</v>
      </c>
      <c r="P71" s="19" t="n">
        <f aca="false">IF(E71="","",IFERROR(EDATE(E71,12*INDEX('State Rules'!$E$5:$E$11,MATCH($B71,'State Rules'!$A$5:$A$11,0))),""))</f>
        <v>46669</v>
      </c>
      <c r="Q71" s="10" t="str">
        <f aca="false">IF(O71="","",IFERROR(IF(O71&lt;=INDEX('State Rules'!$I$5:$I$11,MATCH($B71,'State Rules'!$A$5:$A$11,0)),"Yes","No"),""))</f>
        <v>Yes</v>
      </c>
      <c r="R71" s="10" t="str">
        <f aca="false">IF(P71="","",IFERROR(IF(P71&lt;=INDEX('State Rules'!$I$5:$I$11,MATCH($B71,'State Rules'!$A$5:$A$11,0)),"Yes","No"),""))</f>
        <v>No</v>
      </c>
      <c r="S71" s="7"/>
      <c r="T71" s="7"/>
      <c r="U71" s="21"/>
      <c r="V71" s="21"/>
      <c r="W71" s="21"/>
      <c r="X71" s="7"/>
      <c r="Y71" s="9" t="n">
        <f aca="false">IF(P71="","",IF(P71&lt;=$B$4,N(V71)+N(W71),0))</f>
        <v>0</v>
      </c>
    </row>
    <row r="72" customFormat="false" ht="15" hidden="false" customHeight="false" outlineLevel="0" collapsed="false">
      <c r="A72" s="10" t="s">
        <v>30</v>
      </c>
      <c r="B72" s="11" t="str">
        <f aca="false">IFERROR(INDEX(Summary!$B$7:$B$14,MATCH($A72,Summary!$A$7:$A$14,0)),"")</f>
        <v>TX</v>
      </c>
      <c r="C72" s="10" t="s">
        <v>30</v>
      </c>
      <c r="D72" s="10" t="n">
        <v>36</v>
      </c>
      <c r="E72" s="19" t="n">
        <v>45649</v>
      </c>
      <c r="F72" s="10" t="s">
        <v>227</v>
      </c>
      <c r="G72" s="10"/>
      <c r="H72" s="9" t="n">
        <v>999.99</v>
      </c>
      <c r="I72" s="10" t="s">
        <v>228</v>
      </c>
      <c r="J72" s="10" t="s">
        <v>84</v>
      </c>
      <c r="K72" s="20" t="n">
        <f aca="false">IF(E72="","",($B$4-E72)/365.25)</f>
        <v>1.78507871321013</v>
      </c>
      <c r="L72" s="10" t="str">
        <f aca="false">IF(K72="","no date",IF(K72&lt;1,"0-1 yrs",IF(K72&lt;2,"1-2 yrs",IF(K72&lt;3,"2-3 yrs",IF(K72&lt;5,"3-5 yrs","5+ yrs")))))</f>
        <v>1-2 yrs</v>
      </c>
      <c r="M72" s="10" t="s">
        <v>85</v>
      </c>
      <c r="N72" s="11" t="n">
        <f aca="false">IFERROR(INDEX('State Rules'!$C$5:$C$11,MATCH($B72,'State Rules'!$A$5:$A$11,0)),"")</f>
        <v>1</v>
      </c>
      <c r="O72" s="19" t="n">
        <f aca="false">IF(OR(N72="",E72=""),"",EDATE(E72,12*N72))</f>
        <v>46014</v>
      </c>
      <c r="P72" s="19" t="n">
        <f aca="false">IF(E72="","",IFERROR(EDATE(E72,12*INDEX('State Rules'!$E$5:$E$11,MATCH($B72,'State Rules'!$A$5:$A$11,0))),""))</f>
        <v>46744</v>
      </c>
      <c r="Q72" s="10" t="str">
        <f aca="false">IF(O72="","",IFERROR(IF(O72&lt;=INDEX('State Rules'!$I$5:$I$11,MATCH($B72,'State Rules'!$A$5:$A$11,0)),"Yes","No"),""))</f>
        <v>Yes</v>
      </c>
      <c r="R72" s="10" t="str">
        <f aca="false">IF(P72="","",IFERROR(IF(P72&lt;=INDEX('State Rules'!$I$5:$I$11,MATCH($B72,'State Rules'!$A$5:$A$11,0)),"Yes","No"),""))</f>
        <v>No</v>
      </c>
      <c r="S72" s="7"/>
      <c r="T72" s="7"/>
      <c r="U72" s="21"/>
      <c r="V72" s="21"/>
      <c r="W72" s="21"/>
      <c r="X72" s="7"/>
      <c r="Y72" s="9" t="n">
        <f aca="false">IF(P72="","",IF(P72&lt;=$B$4,N(V72)+N(W72),0))</f>
        <v>0</v>
      </c>
    </row>
    <row r="73" customFormat="false" ht="15" hidden="false" customHeight="false" outlineLevel="0" collapsed="false">
      <c r="A73" s="10" t="s">
        <v>30</v>
      </c>
      <c r="B73" s="11" t="str">
        <f aca="false">IFERROR(INDEX(Summary!$B$7:$B$14,MATCH($A73,Summary!$A$7:$A$14,0)),"")</f>
        <v>TX</v>
      </c>
      <c r="C73" s="10" t="s">
        <v>30</v>
      </c>
      <c r="D73" s="10" t="n">
        <v>37</v>
      </c>
      <c r="E73" s="19" t="n">
        <v>45688</v>
      </c>
      <c r="F73" s="10" t="s">
        <v>229</v>
      </c>
      <c r="G73" s="10" t="s">
        <v>230</v>
      </c>
      <c r="H73" s="9" t="n">
        <v>305.91</v>
      </c>
      <c r="I73" s="10"/>
      <c r="J73" s="10" t="s">
        <v>84</v>
      </c>
      <c r="K73" s="20" t="n">
        <f aca="false">IF(E73="","",($B$4-E73)/365.25)</f>
        <v>1.67830253251198</v>
      </c>
      <c r="L73" s="10" t="str">
        <f aca="false">IF(K73="","no date",IF(K73&lt;1,"0-1 yrs",IF(K73&lt;2,"1-2 yrs",IF(K73&lt;3,"2-3 yrs",IF(K73&lt;5,"3-5 yrs","5+ yrs")))))</f>
        <v>1-2 yrs</v>
      </c>
      <c r="M73" s="10" t="s">
        <v>85</v>
      </c>
      <c r="N73" s="11" t="n">
        <f aca="false">IFERROR(INDEX('State Rules'!$C$5:$C$11,MATCH($B73,'State Rules'!$A$5:$A$11,0)),"")</f>
        <v>1</v>
      </c>
      <c r="O73" s="19" t="n">
        <f aca="false">IF(OR(N73="",E73=""),"",EDATE(E73,12*N73))</f>
        <v>46053</v>
      </c>
      <c r="P73" s="19" t="n">
        <f aca="false">IF(E73="","",IFERROR(EDATE(E73,12*INDEX('State Rules'!$E$5:$E$11,MATCH($B73,'State Rules'!$A$5:$A$11,0))),""))</f>
        <v>46783</v>
      </c>
      <c r="Q73" s="10" t="str">
        <f aca="false">IF(O73="","",IFERROR(IF(O73&lt;=INDEX('State Rules'!$I$5:$I$11,MATCH($B73,'State Rules'!$A$5:$A$11,0)),"Yes","No"),""))</f>
        <v>Yes</v>
      </c>
      <c r="R73" s="10" t="str">
        <f aca="false">IF(P73="","",IFERROR(IF(P73&lt;=INDEX('State Rules'!$I$5:$I$11,MATCH($B73,'State Rules'!$A$5:$A$11,0)),"Yes","No"),""))</f>
        <v>No</v>
      </c>
      <c r="S73" s="7"/>
      <c r="T73" s="7"/>
      <c r="U73" s="21"/>
      <c r="V73" s="21"/>
      <c r="W73" s="21"/>
      <c r="X73" s="7"/>
      <c r="Y73" s="9" t="n">
        <f aca="false">IF(P73="","",IF(P73&lt;=$B$4,N(V73)+N(W73),0))</f>
        <v>0</v>
      </c>
    </row>
    <row r="74" customFormat="false" ht="15" hidden="false" customHeight="false" outlineLevel="0" collapsed="false">
      <c r="A74" s="10" t="s">
        <v>30</v>
      </c>
      <c r="B74" s="11" t="str">
        <f aca="false">IFERROR(INDEX(Summary!$B$7:$B$14,MATCH($A74,Summary!$A$7:$A$14,0)),"")</f>
        <v>TX</v>
      </c>
      <c r="C74" s="10" t="s">
        <v>30</v>
      </c>
      <c r="D74" s="10" t="n">
        <v>38</v>
      </c>
      <c r="E74" s="19" t="n">
        <v>45825</v>
      </c>
      <c r="F74" s="10" t="s">
        <v>231</v>
      </c>
      <c r="G74" s="10"/>
      <c r="H74" s="9" t="n">
        <v>1044</v>
      </c>
      <c r="I74" s="10" t="s">
        <v>232</v>
      </c>
      <c r="J74" s="10" t="s">
        <v>84</v>
      </c>
      <c r="K74" s="20" t="n">
        <f aca="false">IF(E74="","",($B$4-E74)/365.25)</f>
        <v>1.30321697467488</v>
      </c>
      <c r="L74" s="10" t="str">
        <f aca="false">IF(K74="","no date",IF(K74&lt;1,"0-1 yrs",IF(K74&lt;2,"1-2 yrs",IF(K74&lt;3,"2-3 yrs",IF(K74&lt;5,"3-5 yrs","5+ yrs")))))</f>
        <v>1-2 yrs</v>
      </c>
      <c r="M74" s="10" t="s">
        <v>85</v>
      </c>
      <c r="N74" s="11" t="n">
        <f aca="false">IFERROR(INDEX('State Rules'!$C$5:$C$11,MATCH($B74,'State Rules'!$A$5:$A$11,0)),"")</f>
        <v>1</v>
      </c>
      <c r="O74" s="19" t="n">
        <f aca="false">IF(OR(N74="",E74=""),"",EDATE(E74,12*N74))</f>
        <v>46190</v>
      </c>
      <c r="P74" s="19" t="n">
        <f aca="false">IF(E74="","",IFERROR(EDATE(E74,12*INDEX('State Rules'!$E$5:$E$11,MATCH($B74,'State Rules'!$A$5:$A$11,0))),""))</f>
        <v>46921</v>
      </c>
      <c r="Q74" s="10" t="str">
        <f aca="false">IF(O74="","",IFERROR(IF(O74&lt;=INDEX('State Rules'!$I$5:$I$11,MATCH($B74,'State Rules'!$A$5:$A$11,0)),"Yes","No"),""))</f>
        <v>Yes</v>
      </c>
      <c r="R74" s="10" t="str">
        <f aca="false">IF(P74="","",IFERROR(IF(P74&lt;=INDEX('State Rules'!$I$5:$I$11,MATCH($B74,'State Rules'!$A$5:$A$11,0)),"Yes","No"),""))</f>
        <v>No</v>
      </c>
      <c r="S74" s="7"/>
      <c r="T74" s="7"/>
      <c r="U74" s="21"/>
      <c r="V74" s="21"/>
      <c r="W74" s="21"/>
      <c r="X74" s="7"/>
      <c r="Y74" s="9" t="n">
        <f aca="false">IF(P74="","",IF(P74&lt;=$B$4,N(V74)+N(W74),0))</f>
        <v>0</v>
      </c>
    </row>
    <row r="75" customFormat="false" ht="15" hidden="false" customHeight="false" outlineLevel="0" collapsed="false">
      <c r="A75" s="10" t="s">
        <v>30</v>
      </c>
      <c r="B75" s="11" t="str">
        <f aca="false">IFERROR(INDEX(Summary!$B$7:$B$14,MATCH($A75,Summary!$A$7:$A$14,0)),"")</f>
        <v>TX</v>
      </c>
      <c r="C75" s="10" t="s">
        <v>30</v>
      </c>
      <c r="D75" s="10" t="n">
        <v>39</v>
      </c>
      <c r="E75" s="19" t="n">
        <v>45840</v>
      </c>
      <c r="F75" s="10" t="s">
        <v>233</v>
      </c>
      <c r="G75" s="10" t="s">
        <v>234</v>
      </c>
      <c r="H75" s="9" t="n">
        <v>250</v>
      </c>
      <c r="I75" s="10"/>
      <c r="J75" s="10" t="s">
        <v>84</v>
      </c>
      <c r="K75" s="20" t="n">
        <f aca="false">IF(E75="","",($B$4-E75)/365.25)</f>
        <v>1.2621492128679</v>
      </c>
      <c r="L75" s="10" t="str">
        <f aca="false">IF(K75="","no date",IF(K75&lt;1,"0-1 yrs",IF(K75&lt;2,"1-2 yrs",IF(K75&lt;3,"2-3 yrs",IF(K75&lt;5,"3-5 yrs","5+ yrs")))))</f>
        <v>1-2 yrs</v>
      </c>
      <c r="M75" s="10" t="s">
        <v>85</v>
      </c>
      <c r="N75" s="11" t="n">
        <f aca="false">IFERROR(INDEX('State Rules'!$C$5:$C$11,MATCH($B75,'State Rules'!$A$5:$A$11,0)),"")</f>
        <v>1</v>
      </c>
      <c r="O75" s="19" t="n">
        <f aca="false">IF(OR(N75="",E75=""),"",EDATE(E75,12*N75))</f>
        <v>46205</v>
      </c>
      <c r="P75" s="19" t="n">
        <f aca="false">IF(E75="","",IFERROR(EDATE(E75,12*INDEX('State Rules'!$E$5:$E$11,MATCH($B75,'State Rules'!$A$5:$A$11,0))),""))</f>
        <v>46936</v>
      </c>
      <c r="Q75" s="10" t="str">
        <f aca="false">IF(O75="","",IFERROR(IF(O75&lt;=INDEX('State Rules'!$I$5:$I$11,MATCH($B75,'State Rules'!$A$5:$A$11,0)),"Yes","No"),""))</f>
        <v>Yes</v>
      </c>
      <c r="R75" s="10" t="str">
        <f aca="false">IF(P75="","",IFERROR(IF(P75&lt;=INDEX('State Rules'!$I$5:$I$11,MATCH($B75,'State Rules'!$A$5:$A$11,0)),"Yes","No"),""))</f>
        <v>No</v>
      </c>
      <c r="S75" s="7"/>
      <c r="T75" s="7"/>
      <c r="U75" s="21"/>
      <c r="V75" s="21"/>
      <c r="W75" s="21"/>
      <c r="X75" s="7"/>
      <c r="Y75" s="9" t="n">
        <f aca="false">IF(P75="","",IF(P75&lt;=$B$4,N(V75)+N(W75),0))</f>
        <v>0</v>
      </c>
    </row>
    <row r="76" customFormat="false" ht="15" hidden="false" customHeight="false" outlineLevel="0" collapsed="false">
      <c r="A76" s="10" t="s">
        <v>30</v>
      </c>
      <c r="B76" s="11" t="str">
        <f aca="false">IFERROR(INDEX(Summary!$B$7:$B$14,MATCH($A76,Summary!$A$7:$A$14,0)),"")</f>
        <v>TX</v>
      </c>
      <c r="C76" s="10" t="s">
        <v>30</v>
      </c>
      <c r="D76" s="10" t="n">
        <v>40</v>
      </c>
      <c r="E76" s="19" t="n">
        <v>45853</v>
      </c>
      <c r="F76" s="10" t="s">
        <v>235</v>
      </c>
      <c r="G76" s="10" t="s">
        <v>236</v>
      </c>
      <c r="H76" s="9" t="n">
        <v>475</v>
      </c>
      <c r="I76" s="10" t="s">
        <v>237</v>
      </c>
      <c r="J76" s="10" t="s">
        <v>84</v>
      </c>
      <c r="K76" s="20" t="n">
        <f aca="false">IF(E76="","",($B$4-E76)/365.25)</f>
        <v>1.22655715263518</v>
      </c>
      <c r="L76" s="10" t="str">
        <f aca="false">IF(K76="","no date",IF(K76&lt;1,"0-1 yrs",IF(K76&lt;2,"1-2 yrs",IF(K76&lt;3,"2-3 yrs",IF(K76&lt;5,"3-5 yrs","5+ yrs")))))</f>
        <v>1-2 yrs</v>
      </c>
      <c r="M76" s="10" t="s">
        <v>85</v>
      </c>
      <c r="N76" s="11" t="n">
        <f aca="false">IFERROR(INDEX('State Rules'!$C$5:$C$11,MATCH($B76,'State Rules'!$A$5:$A$11,0)),"")</f>
        <v>1</v>
      </c>
      <c r="O76" s="19" t="n">
        <f aca="false">IF(OR(N76="",E76=""),"",EDATE(E76,12*N76))</f>
        <v>46218</v>
      </c>
      <c r="P76" s="19" t="n">
        <f aca="false">IF(E76="","",IFERROR(EDATE(E76,12*INDEX('State Rules'!$E$5:$E$11,MATCH($B76,'State Rules'!$A$5:$A$11,0))),""))</f>
        <v>46949</v>
      </c>
      <c r="Q76" s="10" t="str">
        <f aca="false">IF(O76="","",IFERROR(IF(O76&lt;=INDEX('State Rules'!$I$5:$I$11,MATCH($B76,'State Rules'!$A$5:$A$11,0)),"Yes","No"),""))</f>
        <v>Yes</v>
      </c>
      <c r="R76" s="10" t="str">
        <f aca="false">IF(P76="","",IFERROR(IF(P76&lt;=INDEX('State Rules'!$I$5:$I$11,MATCH($B76,'State Rules'!$A$5:$A$11,0)),"Yes","No"),""))</f>
        <v>No</v>
      </c>
      <c r="S76" s="7"/>
      <c r="T76" s="7"/>
      <c r="U76" s="21"/>
      <c r="V76" s="21"/>
      <c r="W76" s="21"/>
      <c r="X76" s="7"/>
      <c r="Y76" s="9" t="n">
        <f aca="false">IF(P76="","",IF(P76&lt;=$B$4,N(V76)+N(W76),0))</f>
        <v>0</v>
      </c>
    </row>
    <row r="77" customFormat="false" ht="15" hidden="false" customHeight="false" outlineLevel="0" collapsed="false">
      <c r="A77" s="10" t="s">
        <v>30</v>
      </c>
      <c r="B77" s="11" t="str">
        <f aca="false">IFERROR(INDEX(Summary!$B$7:$B$14,MATCH($A77,Summary!$A$7:$A$14,0)),"")</f>
        <v>TX</v>
      </c>
      <c r="C77" s="10" t="s">
        <v>30</v>
      </c>
      <c r="D77" s="10" t="n">
        <v>41</v>
      </c>
      <c r="E77" s="19" t="n">
        <v>45854</v>
      </c>
      <c r="F77" s="10" t="s">
        <v>238</v>
      </c>
      <c r="G77" s="10"/>
      <c r="H77" s="9" t="n">
        <v>263</v>
      </c>
      <c r="I77" s="10"/>
      <c r="J77" s="10" t="s">
        <v>84</v>
      </c>
      <c r="K77" s="20" t="n">
        <f aca="false">IF(E77="","",($B$4-E77)/365.25)</f>
        <v>1.22381930184805</v>
      </c>
      <c r="L77" s="10" t="str">
        <f aca="false">IF(K77="","no date",IF(K77&lt;1,"0-1 yrs",IF(K77&lt;2,"1-2 yrs",IF(K77&lt;3,"2-3 yrs",IF(K77&lt;5,"3-5 yrs","5+ yrs")))))</f>
        <v>1-2 yrs</v>
      </c>
      <c r="M77" s="10" t="s">
        <v>85</v>
      </c>
      <c r="N77" s="11" t="n">
        <f aca="false">IFERROR(INDEX('State Rules'!$C$5:$C$11,MATCH($B77,'State Rules'!$A$5:$A$11,0)),"")</f>
        <v>1</v>
      </c>
      <c r="O77" s="19" t="n">
        <f aca="false">IF(OR(N77="",E77=""),"",EDATE(E77,12*N77))</f>
        <v>46219</v>
      </c>
      <c r="P77" s="19" t="n">
        <f aca="false">IF(E77="","",IFERROR(EDATE(E77,12*INDEX('State Rules'!$E$5:$E$11,MATCH($B77,'State Rules'!$A$5:$A$11,0))),""))</f>
        <v>46950</v>
      </c>
      <c r="Q77" s="10" t="str">
        <f aca="false">IF(O77="","",IFERROR(IF(O77&lt;=INDEX('State Rules'!$I$5:$I$11,MATCH($B77,'State Rules'!$A$5:$A$11,0)),"Yes","No"),""))</f>
        <v>Yes</v>
      </c>
      <c r="R77" s="10" t="str">
        <f aca="false">IF(P77="","",IFERROR(IF(P77&lt;=INDEX('State Rules'!$I$5:$I$11,MATCH($B77,'State Rules'!$A$5:$A$11,0)),"Yes","No"),""))</f>
        <v>No</v>
      </c>
      <c r="S77" s="7"/>
      <c r="T77" s="7"/>
      <c r="U77" s="21"/>
      <c r="V77" s="21"/>
      <c r="W77" s="21"/>
      <c r="X77" s="7"/>
      <c r="Y77" s="9" t="n">
        <f aca="false">IF(P77="","",IF(P77&lt;=$B$4,N(V77)+N(W77),0))</f>
        <v>0</v>
      </c>
    </row>
    <row r="78" customFormat="false" ht="15" hidden="false" customHeight="false" outlineLevel="0" collapsed="false">
      <c r="A78" s="10" t="s">
        <v>30</v>
      </c>
      <c r="B78" s="11" t="str">
        <f aca="false">IFERROR(INDEX(Summary!$B$7:$B$14,MATCH($A78,Summary!$A$7:$A$14,0)),"")</f>
        <v>TX</v>
      </c>
      <c r="C78" s="10" t="s">
        <v>30</v>
      </c>
      <c r="D78" s="10" t="n">
        <v>42</v>
      </c>
      <c r="E78" s="19" t="n">
        <v>45866</v>
      </c>
      <c r="F78" s="10" t="s">
        <v>239</v>
      </c>
      <c r="G78" s="10" t="s">
        <v>240</v>
      </c>
      <c r="H78" s="9" t="n">
        <v>3750</v>
      </c>
      <c r="I78" s="10" t="s">
        <v>241</v>
      </c>
      <c r="J78" s="10" t="s">
        <v>84</v>
      </c>
      <c r="K78" s="20" t="n">
        <f aca="false">IF(E78="","",($B$4-E78)/365.25)</f>
        <v>1.19096509240246</v>
      </c>
      <c r="L78" s="10" t="str">
        <f aca="false">IF(K78="","no date",IF(K78&lt;1,"0-1 yrs",IF(K78&lt;2,"1-2 yrs",IF(K78&lt;3,"2-3 yrs",IF(K78&lt;5,"3-5 yrs","5+ yrs")))))</f>
        <v>1-2 yrs</v>
      </c>
      <c r="M78" s="10" t="s">
        <v>85</v>
      </c>
      <c r="N78" s="11" t="n">
        <f aca="false">IFERROR(INDEX('State Rules'!$C$5:$C$11,MATCH($B78,'State Rules'!$A$5:$A$11,0)),"")</f>
        <v>1</v>
      </c>
      <c r="O78" s="19" t="n">
        <f aca="false">IF(OR(N78="",E78=""),"",EDATE(E78,12*N78))</f>
        <v>46231</v>
      </c>
      <c r="P78" s="19" t="n">
        <f aca="false">IF(E78="","",IFERROR(EDATE(E78,12*INDEX('State Rules'!$E$5:$E$11,MATCH($B78,'State Rules'!$A$5:$A$11,0))),""))</f>
        <v>46962</v>
      </c>
      <c r="Q78" s="10" t="str">
        <f aca="false">IF(O78="","",IFERROR(IF(O78&lt;=INDEX('State Rules'!$I$5:$I$11,MATCH($B78,'State Rules'!$A$5:$A$11,0)),"Yes","No"),""))</f>
        <v>Yes</v>
      </c>
      <c r="R78" s="10" t="str">
        <f aca="false">IF(P78="","",IFERROR(IF(P78&lt;=INDEX('State Rules'!$I$5:$I$11,MATCH($B78,'State Rules'!$A$5:$A$11,0)),"Yes","No"),""))</f>
        <v>No</v>
      </c>
      <c r="S78" s="7"/>
      <c r="T78" s="7"/>
      <c r="U78" s="21"/>
      <c r="V78" s="21"/>
      <c r="W78" s="21"/>
      <c r="X78" s="7"/>
      <c r="Y78" s="9" t="n">
        <f aca="false">IF(P78="","",IF(P78&lt;=$B$4,N(V78)+N(W78),0))</f>
        <v>0</v>
      </c>
    </row>
    <row r="79" customFormat="false" ht="15" hidden="false" customHeight="false" outlineLevel="0" collapsed="false">
      <c r="A79" s="10" t="s">
        <v>30</v>
      </c>
      <c r="B79" s="11" t="str">
        <f aca="false">IFERROR(INDEX(Summary!$B$7:$B$14,MATCH($A79,Summary!$A$7:$A$14,0)),"")</f>
        <v>TX</v>
      </c>
      <c r="C79" s="10" t="s">
        <v>30</v>
      </c>
      <c r="D79" s="10" t="n">
        <v>43</v>
      </c>
      <c r="E79" s="19" t="n">
        <v>45869</v>
      </c>
      <c r="F79" s="10" t="s">
        <v>242</v>
      </c>
      <c r="G79" s="10" t="s">
        <v>243</v>
      </c>
      <c r="H79" s="9" t="n">
        <v>10600</v>
      </c>
      <c r="I79" s="10"/>
      <c r="J79" s="10" t="s">
        <v>84</v>
      </c>
      <c r="K79" s="20" t="n">
        <f aca="false">IF(E79="","",($B$4-E79)/365.25)</f>
        <v>1.18275154004107</v>
      </c>
      <c r="L79" s="10" t="str">
        <f aca="false">IF(K79="","no date",IF(K79&lt;1,"0-1 yrs",IF(K79&lt;2,"1-2 yrs",IF(K79&lt;3,"2-3 yrs",IF(K79&lt;5,"3-5 yrs","5+ yrs")))))</f>
        <v>1-2 yrs</v>
      </c>
      <c r="M79" s="10" t="s">
        <v>85</v>
      </c>
      <c r="N79" s="11" t="n">
        <f aca="false">IFERROR(INDEX('State Rules'!$C$5:$C$11,MATCH($B79,'State Rules'!$A$5:$A$11,0)),"")</f>
        <v>1</v>
      </c>
      <c r="O79" s="19" t="n">
        <f aca="false">IF(OR(N79="",E79=""),"",EDATE(E79,12*N79))</f>
        <v>46234</v>
      </c>
      <c r="P79" s="19" t="n">
        <f aca="false">IF(E79="","",IFERROR(EDATE(E79,12*INDEX('State Rules'!$E$5:$E$11,MATCH($B79,'State Rules'!$A$5:$A$11,0))),""))</f>
        <v>46965</v>
      </c>
      <c r="Q79" s="10" t="str">
        <f aca="false">IF(O79="","",IFERROR(IF(O79&lt;=INDEX('State Rules'!$I$5:$I$11,MATCH($B79,'State Rules'!$A$5:$A$11,0)),"Yes","No"),""))</f>
        <v>Yes</v>
      </c>
      <c r="R79" s="10" t="str">
        <f aca="false">IF(P79="","",IFERROR(IF(P79&lt;=INDEX('State Rules'!$I$5:$I$11,MATCH($B79,'State Rules'!$A$5:$A$11,0)),"Yes","No"),""))</f>
        <v>No</v>
      </c>
      <c r="S79" s="7"/>
      <c r="T79" s="7"/>
      <c r="U79" s="21"/>
      <c r="V79" s="21"/>
      <c r="W79" s="21"/>
      <c r="X79" s="7"/>
      <c r="Y79" s="9" t="n">
        <f aca="false">IF(P79="","",IF(P79&lt;=$B$4,N(V79)+N(W79),0))</f>
        <v>0</v>
      </c>
    </row>
    <row r="80" customFormat="false" ht="15" hidden="false" customHeight="false" outlineLevel="0" collapsed="false">
      <c r="A80" s="10" t="s">
        <v>30</v>
      </c>
      <c r="B80" s="11" t="str">
        <f aca="false">IFERROR(INDEX(Summary!$B$7:$B$14,MATCH($A80,Summary!$A$7:$A$14,0)),"")</f>
        <v>TX</v>
      </c>
      <c r="C80" s="10" t="s">
        <v>30</v>
      </c>
      <c r="D80" s="10" t="n">
        <v>44</v>
      </c>
      <c r="E80" s="19" t="n">
        <v>45877</v>
      </c>
      <c r="F80" s="10" t="s">
        <v>244</v>
      </c>
      <c r="G80" s="10"/>
      <c r="H80" s="9" t="n">
        <v>531.25</v>
      </c>
      <c r="I80" s="10" t="s">
        <v>245</v>
      </c>
      <c r="J80" s="10" t="s">
        <v>84</v>
      </c>
      <c r="K80" s="20" t="n">
        <f aca="false">IF(E80="","",($B$4-E80)/365.25)</f>
        <v>1.16084873374401</v>
      </c>
      <c r="L80" s="10" t="str">
        <f aca="false">IF(K80="","no date",IF(K80&lt;1,"0-1 yrs",IF(K80&lt;2,"1-2 yrs",IF(K80&lt;3,"2-3 yrs",IF(K80&lt;5,"3-5 yrs","5+ yrs")))))</f>
        <v>1-2 yrs</v>
      </c>
      <c r="M80" s="10" t="s">
        <v>85</v>
      </c>
      <c r="N80" s="11" t="n">
        <f aca="false">IFERROR(INDEX('State Rules'!$C$5:$C$11,MATCH($B80,'State Rules'!$A$5:$A$11,0)),"")</f>
        <v>1</v>
      </c>
      <c r="O80" s="19" t="n">
        <f aca="false">IF(OR(N80="",E80=""),"",EDATE(E80,12*N80))</f>
        <v>46242</v>
      </c>
      <c r="P80" s="19" t="n">
        <f aca="false">IF(E80="","",IFERROR(EDATE(E80,12*INDEX('State Rules'!$E$5:$E$11,MATCH($B80,'State Rules'!$A$5:$A$11,0))),""))</f>
        <v>46973</v>
      </c>
      <c r="Q80" s="10" t="str">
        <f aca="false">IF(O80="","",IFERROR(IF(O80&lt;=INDEX('State Rules'!$I$5:$I$11,MATCH($B80,'State Rules'!$A$5:$A$11,0)),"Yes","No"),""))</f>
        <v>Yes</v>
      </c>
      <c r="R80" s="10" t="str">
        <f aca="false">IF(P80="","",IFERROR(IF(P80&lt;=INDEX('State Rules'!$I$5:$I$11,MATCH($B80,'State Rules'!$A$5:$A$11,0)),"Yes","No"),""))</f>
        <v>No</v>
      </c>
      <c r="S80" s="7"/>
      <c r="T80" s="7"/>
      <c r="U80" s="21"/>
      <c r="V80" s="21"/>
      <c r="W80" s="21"/>
      <c r="X80" s="7"/>
      <c r="Y80" s="9" t="n">
        <f aca="false">IF(P80="","",IF(P80&lt;=$B$4,N(V80)+N(W80),0))</f>
        <v>0</v>
      </c>
    </row>
    <row r="81" customFormat="false" ht="15" hidden="false" customHeight="false" outlineLevel="0" collapsed="false">
      <c r="A81" s="10" t="s">
        <v>30</v>
      </c>
      <c r="B81" s="11" t="str">
        <f aca="false">IFERROR(INDEX(Summary!$B$7:$B$14,MATCH($A81,Summary!$A$7:$A$14,0)),"")</f>
        <v>TX</v>
      </c>
      <c r="C81" s="10" t="s">
        <v>30</v>
      </c>
      <c r="D81" s="10" t="n">
        <v>45</v>
      </c>
      <c r="E81" s="19" t="n">
        <v>45888</v>
      </c>
      <c r="F81" s="10" t="s">
        <v>246</v>
      </c>
      <c r="G81" s="10"/>
      <c r="H81" s="9" t="n">
        <v>16200</v>
      </c>
      <c r="I81" s="10" t="s">
        <v>247</v>
      </c>
      <c r="J81" s="10" t="s">
        <v>84</v>
      </c>
      <c r="K81" s="20" t="n">
        <f aca="false">IF(E81="","",($B$4-E81)/365.25)</f>
        <v>1.13073237508556</v>
      </c>
      <c r="L81" s="10" t="str">
        <f aca="false">IF(K81="","no date",IF(K81&lt;1,"0-1 yrs",IF(K81&lt;2,"1-2 yrs",IF(K81&lt;3,"2-3 yrs",IF(K81&lt;5,"3-5 yrs","5+ yrs")))))</f>
        <v>1-2 yrs</v>
      </c>
      <c r="M81" s="10" t="s">
        <v>85</v>
      </c>
      <c r="N81" s="11" t="n">
        <f aca="false">IFERROR(INDEX('State Rules'!$C$5:$C$11,MATCH($B81,'State Rules'!$A$5:$A$11,0)),"")</f>
        <v>1</v>
      </c>
      <c r="O81" s="19" t="n">
        <f aca="false">IF(OR(N81="",E81=""),"",EDATE(E81,12*N81))</f>
        <v>46253</v>
      </c>
      <c r="P81" s="19" t="n">
        <f aca="false">IF(E81="","",IFERROR(EDATE(E81,12*INDEX('State Rules'!$E$5:$E$11,MATCH($B81,'State Rules'!$A$5:$A$11,0))),""))</f>
        <v>46984</v>
      </c>
      <c r="Q81" s="10" t="str">
        <f aca="false">IF(O81="","",IFERROR(IF(O81&lt;=INDEX('State Rules'!$I$5:$I$11,MATCH($B81,'State Rules'!$A$5:$A$11,0)),"Yes","No"),""))</f>
        <v>Yes</v>
      </c>
      <c r="R81" s="10" t="str">
        <f aca="false">IF(P81="","",IFERROR(IF(P81&lt;=INDEX('State Rules'!$I$5:$I$11,MATCH($B81,'State Rules'!$A$5:$A$11,0)),"Yes","No"),""))</f>
        <v>No</v>
      </c>
      <c r="S81" s="7"/>
      <c r="T81" s="7"/>
      <c r="U81" s="21"/>
      <c r="V81" s="21"/>
      <c r="W81" s="21"/>
      <c r="X81" s="7"/>
      <c r="Y81" s="9" t="n">
        <f aca="false">IF(P81="","",IF(P81&lt;=$B$4,N(V81)+N(W81),0))</f>
        <v>0</v>
      </c>
    </row>
    <row r="82" customFormat="false" ht="15" hidden="false" customHeight="false" outlineLevel="0" collapsed="false">
      <c r="A82" s="10" t="s">
        <v>30</v>
      </c>
      <c r="B82" s="11" t="str">
        <f aca="false">IFERROR(INDEX(Summary!$B$7:$B$14,MATCH($A82,Summary!$A$7:$A$14,0)),"")</f>
        <v>TX</v>
      </c>
      <c r="C82" s="10" t="s">
        <v>30</v>
      </c>
      <c r="D82" s="10" t="n">
        <v>46</v>
      </c>
      <c r="E82" s="19" t="n">
        <v>45916</v>
      </c>
      <c r="F82" s="10" t="s">
        <v>248</v>
      </c>
      <c r="G82" s="10"/>
      <c r="H82" s="9" t="n">
        <v>636.75</v>
      </c>
      <c r="I82" s="10"/>
      <c r="J82" s="10" t="s">
        <v>84</v>
      </c>
      <c r="K82" s="20" t="n">
        <f aca="false">IF(E82="","",($B$4-E82)/365.25)</f>
        <v>1.05407255304586</v>
      </c>
      <c r="L82" s="10" t="str">
        <f aca="false">IF(K82="","no date",IF(K82&lt;1,"0-1 yrs",IF(K82&lt;2,"1-2 yrs",IF(K82&lt;3,"2-3 yrs",IF(K82&lt;5,"3-5 yrs","5+ yrs")))))</f>
        <v>1-2 yrs</v>
      </c>
      <c r="M82" s="10" t="s">
        <v>85</v>
      </c>
      <c r="N82" s="11" t="n">
        <f aca="false">IFERROR(INDEX('State Rules'!$C$5:$C$11,MATCH($B82,'State Rules'!$A$5:$A$11,0)),"")</f>
        <v>1</v>
      </c>
      <c r="O82" s="19" t="n">
        <f aca="false">IF(OR(N82="",E82=""),"",EDATE(E82,12*N82))</f>
        <v>46281</v>
      </c>
      <c r="P82" s="19" t="n">
        <f aca="false">IF(E82="","",IFERROR(EDATE(E82,12*INDEX('State Rules'!$E$5:$E$11,MATCH($B82,'State Rules'!$A$5:$A$11,0))),""))</f>
        <v>47012</v>
      </c>
      <c r="Q82" s="10" t="str">
        <f aca="false">IF(O82="","",IFERROR(IF(O82&lt;=INDEX('State Rules'!$I$5:$I$11,MATCH($B82,'State Rules'!$A$5:$A$11,0)),"Yes","No"),""))</f>
        <v>Yes</v>
      </c>
      <c r="R82" s="10" t="str">
        <f aca="false">IF(P82="","",IFERROR(IF(P82&lt;=INDEX('State Rules'!$I$5:$I$11,MATCH($B82,'State Rules'!$A$5:$A$11,0)),"Yes","No"),""))</f>
        <v>No</v>
      </c>
      <c r="S82" s="7"/>
      <c r="T82" s="7"/>
      <c r="U82" s="21"/>
      <c r="V82" s="21"/>
      <c r="W82" s="21"/>
      <c r="X82" s="7"/>
      <c r="Y82" s="9" t="n">
        <f aca="false">IF(P82="","",IF(P82&lt;=$B$4,N(V82)+N(W82),0))</f>
        <v>0</v>
      </c>
    </row>
    <row r="83" customFormat="false" ht="15" hidden="false" customHeight="false" outlineLevel="0" collapsed="false">
      <c r="A83" s="10" t="s">
        <v>30</v>
      </c>
      <c r="B83" s="11" t="str">
        <f aca="false">IFERROR(INDEX(Summary!$B$7:$B$14,MATCH($A83,Summary!$A$7:$A$14,0)),"")</f>
        <v>TX</v>
      </c>
      <c r="C83" s="10" t="s">
        <v>30</v>
      </c>
      <c r="D83" s="10" t="n">
        <v>47</v>
      </c>
      <c r="E83" s="19" t="n">
        <v>45930</v>
      </c>
      <c r="F83" s="10" t="s">
        <v>249</v>
      </c>
      <c r="G83" s="10"/>
      <c r="H83" s="9" t="n">
        <v>100</v>
      </c>
      <c r="I83" s="10"/>
      <c r="J83" s="10" t="s">
        <v>84</v>
      </c>
      <c r="K83" s="20" t="n">
        <f aca="false">IF(E83="","",($B$4-E83)/365.25)</f>
        <v>1.01574264202601</v>
      </c>
      <c r="L83" s="10" t="str">
        <f aca="false">IF(K83="","no date",IF(K83&lt;1,"0-1 yrs",IF(K83&lt;2,"1-2 yrs",IF(K83&lt;3,"2-3 yrs",IF(K83&lt;5,"3-5 yrs","5+ yrs")))))</f>
        <v>1-2 yrs</v>
      </c>
      <c r="M83" s="10" t="s">
        <v>85</v>
      </c>
      <c r="N83" s="11" t="n">
        <f aca="false">IFERROR(INDEX('State Rules'!$C$5:$C$11,MATCH($B83,'State Rules'!$A$5:$A$11,0)),"")</f>
        <v>1</v>
      </c>
      <c r="O83" s="19" t="n">
        <f aca="false">IF(OR(N83="",E83=""),"",EDATE(E83,12*N83))</f>
        <v>46295</v>
      </c>
      <c r="P83" s="19" t="n">
        <f aca="false">IF(E83="","",IFERROR(EDATE(E83,12*INDEX('State Rules'!$E$5:$E$11,MATCH($B83,'State Rules'!$A$5:$A$11,0))),""))</f>
        <v>47026</v>
      </c>
      <c r="Q83" s="10" t="str">
        <f aca="false">IF(O83="","",IFERROR(IF(O83&lt;=INDEX('State Rules'!$I$5:$I$11,MATCH($B83,'State Rules'!$A$5:$A$11,0)),"Yes","No"),""))</f>
        <v>Yes</v>
      </c>
      <c r="R83" s="10" t="str">
        <f aca="false">IF(P83="","",IFERROR(IF(P83&lt;=INDEX('State Rules'!$I$5:$I$11,MATCH($B83,'State Rules'!$A$5:$A$11,0)),"Yes","No"),""))</f>
        <v>No</v>
      </c>
      <c r="S83" s="7"/>
      <c r="T83" s="7"/>
      <c r="U83" s="21"/>
      <c r="V83" s="21"/>
      <c r="W83" s="21"/>
      <c r="X83" s="7"/>
      <c r="Y83" s="9" t="n">
        <f aca="false">IF(P83="","",IF(P83&lt;=$B$4,N(V83)+N(W83),0))</f>
        <v>0</v>
      </c>
    </row>
    <row r="84" customFormat="false" ht="15" hidden="false" customHeight="false" outlineLevel="0" collapsed="false">
      <c r="A84" s="10" t="s">
        <v>30</v>
      </c>
      <c r="B84" s="11" t="str">
        <f aca="false">IFERROR(INDEX(Summary!$B$7:$B$14,MATCH($A84,Summary!$A$7:$A$14,0)),"")</f>
        <v>TX</v>
      </c>
      <c r="C84" s="10" t="s">
        <v>30</v>
      </c>
      <c r="D84" s="10" t="n">
        <v>48</v>
      </c>
      <c r="E84" s="19" t="n">
        <v>46045</v>
      </c>
      <c r="F84" s="10" t="s">
        <v>250</v>
      </c>
      <c r="G84" s="10"/>
      <c r="H84" s="9" t="n">
        <v>850</v>
      </c>
      <c r="I84" s="10"/>
      <c r="J84" s="10" t="s">
        <v>84</v>
      </c>
      <c r="K84" s="20" t="n">
        <f aca="false">IF(E84="","",($B$4-E84)/365.25)</f>
        <v>0.700889801505818</v>
      </c>
      <c r="L84" s="10" t="str">
        <f aca="false">IF(K84="","no date",IF(K84&lt;1,"0-1 yrs",IF(K84&lt;2,"1-2 yrs",IF(K84&lt;3,"2-3 yrs",IF(K84&lt;5,"3-5 yrs","5+ yrs")))))</f>
        <v>0-1 yrs</v>
      </c>
      <c r="M84" s="10" t="s">
        <v>85</v>
      </c>
      <c r="N84" s="11" t="n">
        <f aca="false">IFERROR(INDEX('State Rules'!$C$5:$C$11,MATCH($B84,'State Rules'!$A$5:$A$11,0)),"")</f>
        <v>1</v>
      </c>
      <c r="O84" s="19" t="n">
        <f aca="false">IF(OR(N84="",E84=""),"",EDATE(E84,12*N84))</f>
        <v>46410</v>
      </c>
      <c r="P84" s="19" t="n">
        <f aca="false">IF(E84="","",IFERROR(EDATE(E84,12*INDEX('State Rules'!$E$5:$E$11,MATCH($B84,'State Rules'!$A$5:$A$11,0))),""))</f>
        <v>47141</v>
      </c>
      <c r="Q84" s="10" t="str">
        <f aca="false">IF(O84="","",IFERROR(IF(O84&lt;=INDEX('State Rules'!$I$5:$I$11,MATCH($B84,'State Rules'!$A$5:$A$11,0)),"Yes","No"),""))</f>
        <v>Yes</v>
      </c>
      <c r="R84" s="10" t="str">
        <f aca="false">IF(P84="","",IFERROR(IF(P84&lt;=INDEX('State Rules'!$I$5:$I$11,MATCH($B84,'State Rules'!$A$5:$A$11,0)),"Yes","No"),""))</f>
        <v>No</v>
      </c>
      <c r="S84" s="7"/>
      <c r="T84" s="7"/>
      <c r="U84" s="21"/>
      <c r="V84" s="21"/>
      <c r="W84" s="21"/>
      <c r="X84" s="7"/>
      <c r="Y84" s="9" t="n">
        <f aca="false">IF(P84="","",IF(P84&lt;=$B$4,N(V84)+N(W84),0))</f>
        <v>0</v>
      </c>
    </row>
    <row r="85" customFormat="false" ht="15" hidden="false" customHeight="false" outlineLevel="0" collapsed="false">
      <c r="A85" s="10" t="s">
        <v>30</v>
      </c>
      <c r="B85" s="11" t="str">
        <f aca="false">IFERROR(INDEX(Summary!$B$7:$B$14,MATCH($A85,Summary!$A$7:$A$14,0)),"")</f>
        <v>TX</v>
      </c>
      <c r="C85" s="10" t="s">
        <v>30</v>
      </c>
      <c r="D85" s="10" t="n">
        <v>49</v>
      </c>
      <c r="E85" s="19" t="n">
        <v>46052</v>
      </c>
      <c r="F85" s="10" t="s">
        <v>251</v>
      </c>
      <c r="G85" s="10"/>
      <c r="H85" s="9" t="n">
        <v>644</v>
      </c>
      <c r="I85" s="10"/>
      <c r="J85" s="10" t="s">
        <v>84</v>
      </c>
      <c r="K85" s="20" t="n">
        <f aca="false">IF(E85="","",($B$4-E85)/365.25)</f>
        <v>0.681724845995893</v>
      </c>
      <c r="L85" s="10" t="str">
        <f aca="false">IF(K85="","no date",IF(K85&lt;1,"0-1 yrs",IF(K85&lt;2,"1-2 yrs",IF(K85&lt;3,"2-3 yrs",IF(K85&lt;5,"3-5 yrs","5+ yrs")))))</f>
        <v>0-1 yrs</v>
      </c>
      <c r="M85" s="10" t="s">
        <v>123</v>
      </c>
      <c r="N85" s="11" t="n">
        <f aca="false">IFERROR(INDEX('State Rules'!$C$5:$C$11,MATCH($B85,'State Rules'!$A$5:$A$11,0)),"")</f>
        <v>1</v>
      </c>
      <c r="O85" s="19" t="n">
        <f aca="false">IF(OR(N85="",E85=""),"",EDATE(E85,12*N85))</f>
        <v>46417</v>
      </c>
      <c r="P85" s="19" t="n">
        <f aca="false">IF(E85="","",IFERROR(EDATE(E85,12*INDEX('State Rules'!$E$5:$E$11,MATCH($B85,'State Rules'!$A$5:$A$11,0))),""))</f>
        <v>47148</v>
      </c>
      <c r="Q85" s="10" t="str">
        <f aca="false">IF(O85="","",IFERROR(IF(O85&lt;=INDEX('State Rules'!$I$5:$I$11,MATCH($B85,'State Rules'!$A$5:$A$11,0)),"Yes","No"),""))</f>
        <v>Yes</v>
      </c>
      <c r="R85" s="10" t="str">
        <f aca="false">IF(P85="","",IFERROR(IF(P85&lt;=INDEX('State Rules'!$I$5:$I$11,MATCH($B85,'State Rules'!$A$5:$A$11,0)),"Yes","No"),""))</f>
        <v>No</v>
      </c>
      <c r="S85" s="7"/>
      <c r="T85" s="7"/>
      <c r="U85" s="21"/>
      <c r="V85" s="21"/>
      <c r="W85" s="21"/>
      <c r="X85" s="7"/>
      <c r="Y85" s="9" t="n">
        <f aca="false">IF(P85="","",IF(P85&lt;=$B$4,N(V85)+N(W85),0))</f>
        <v>0</v>
      </c>
    </row>
    <row r="86" customFormat="false" ht="15" hidden="false" customHeight="false" outlineLevel="0" collapsed="false">
      <c r="A86" s="10" t="s">
        <v>30</v>
      </c>
      <c r="B86" s="11" t="str">
        <f aca="false">IFERROR(INDEX(Summary!$B$7:$B$14,MATCH($A86,Summary!$A$7:$A$14,0)),"")</f>
        <v>TX</v>
      </c>
      <c r="C86" s="10" t="s">
        <v>30</v>
      </c>
      <c r="D86" s="10" t="n">
        <v>50</v>
      </c>
      <c r="E86" s="19" t="n">
        <v>46098</v>
      </c>
      <c r="F86" s="10" t="s">
        <v>252</v>
      </c>
      <c r="G86" s="10" t="s">
        <v>253</v>
      </c>
      <c r="H86" s="9" t="n">
        <v>1397.5</v>
      </c>
      <c r="I86" s="10"/>
      <c r="J86" s="10" t="s">
        <v>84</v>
      </c>
      <c r="K86" s="20" t="n">
        <f aca="false">IF(E86="","",($B$4-E86)/365.25)</f>
        <v>0.555783709787817</v>
      </c>
      <c r="L86" s="10" t="str">
        <f aca="false">IF(K86="","no date",IF(K86&lt;1,"0-1 yrs",IF(K86&lt;2,"1-2 yrs",IF(K86&lt;3,"2-3 yrs",IF(K86&lt;5,"3-5 yrs","5+ yrs")))))</f>
        <v>0-1 yrs</v>
      </c>
      <c r="M86" s="10" t="s">
        <v>85</v>
      </c>
      <c r="N86" s="11" t="n">
        <f aca="false">IFERROR(INDEX('State Rules'!$C$5:$C$11,MATCH($B86,'State Rules'!$A$5:$A$11,0)),"")</f>
        <v>1</v>
      </c>
      <c r="O86" s="19" t="n">
        <f aca="false">IF(OR(N86="",E86=""),"",EDATE(E86,12*N86))</f>
        <v>46463</v>
      </c>
      <c r="P86" s="19" t="n">
        <f aca="false">IF(E86="","",IFERROR(EDATE(E86,12*INDEX('State Rules'!$E$5:$E$11,MATCH($B86,'State Rules'!$A$5:$A$11,0))),""))</f>
        <v>47194</v>
      </c>
      <c r="Q86" s="10" t="str">
        <f aca="false">IF(O86="","",IFERROR(IF(O86&lt;=INDEX('State Rules'!$I$5:$I$11,MATCH($B86,'State Rules'!$A$5:$A$11,0)),"Yes","No"),""))</f>
        <v>No</v>
      </c>
      <c r="R86" s="10" t="str">
        <f aca="false">IF(P86="","",IFERROR(IF(P86&lt;=INDEX('State Rules'!$I$5:$I$11,MATCH($B86,'State Rules'!$A$5:$A$11,0)),"Yes","No"),""))</f>
        <v>No</v>
      </c>
      <c r="S86" s="7"/>
      <c r="T86" s="7"/>
      <c r="U86" s="21"/>
      <c r="V86" s="21"/>
      <c r="W86" s="21"/>
      <c r="X86" s="7"/>
      <c r="Y86" s="9" t="n">
        <f aca="false">IF(P86="","",IF(P86&lt;=$B$4,N(V86)+N(W86),0))</f>
        <v>0</v>
      </c>
    </row>
    <row r="87" customFormat="false" ht="15" hidden="false" customHeight="false" outlineLevel="0" collapsed="false">
      <c r="A87" s="10" t="s">
        <v>30</v>
      </c>
      <c r="B87" s="11" t="str">
        <f aca="false">IFERROR(INDEX(Summary!$B$7:$B$14,MATCH($A87,Summary!$A$7:$A$14,0)),"")</f>
        <v>TX</v>
      </c>
      <c r="C87" s="10" t="s">
        <v>30</v>
      </c>
      <c r="D87" s="10" t="n">
        <v>51</v>
      </c>
      <c r="E87" s="19" t="n">
        <v>46119</v>
      </c>
      <c r="F87" s="10" t="s">
        <v>254</v>
      </c>
      <c r="G87" s="10" t="s">
        <v>255</v>
      </c>
      <c r="H87" s="9" t="n">
        <v>999.5</v>
      </c>
      <c r="I87" s="10"/>
      <c r="J87" s="10" t="s">
        <v>84</v>
      </c>
      <c r="K87" s="20" t="n">
        <f aca="false">IF(E87="","",($B$4-E87)/365.25)</f>
        <v>0.498288843258042</v>
      </c>
      <c r="L87" s="10" t="str">
        <f aca="false">IF(K87="","no date",IF(K87&lt;1,"0-1 yrs",IF(K87&lt;2,"1-2 yrs",IF(K87&lt;3,"2-3 yrs",IF(K87&lt;5,"3-5 yrs","5+ yrs")))))</f>
        <v>0-1 yrs</v>
      </c>
      <c r="M87" s="10" t="s">
        <v>85</v>
      </c>
      <c r="N87" s="11" t="n">
        <f aca="false">IFERROR(INDEX('State Rules'!$C$5:$C$11,MATCH($B87,'State Rules'!$A$5:$A$11,0)),"")</f>
        <v>1</v>
      </c>
      <c r="O87" s="19" t="n">
        <f aca="false">IF(OR(N87="",E87=""),"",EDATE(E87,12*N87))</f>
        <v>46484</v>
      </c>
      <c r="P87" s="19" t="n">
        <f aca="false">IF(E87="","",IFERROR(EDATE(E87,12*INDEX('State Rules'!$E$5:$E$11,MATCH($B87,'State Rules'!$A$5:$A$11,0))),""))</f>
        <v>47215</v>
      </c>
      <c r="Q87" s="10" t="str">
        <f aca="false">IF(O87="","",IFERROR(IF(O87&lt;=INDEX('State Rules'!$I$5:$I$11,MATCH($B87,'State Rules'!$A$5:$A$11,0)),"Yes","No"),""))</f>
        <v>No</v>
      </c>
      <c r="R87" s="10" t="str">
        <f aca="false">IF(P87="","",IFERROR(IF(P87&lt;=INDEX('State Rules'!$I$5:$I$11,MATCH($B87,'State Rules'!$A$5:$A$11,0)),"Yes","No"),""))</f>
        <v>No</v>
      </c>
      <c r="S87" s="7"/>
      <c r="T87" s="7"/>
      <c r="U87" s="21"/>
      <c r="V87" s="21"/>
      <c r="W87" s="21"/>
      <c r="X87" s="7"/>
      <c r="Y87" s="9" t="n">
        <f aca="false">IF(P87="","",IF(P87&lt;=$B$4,N(V87)+N(W87),0))</f>
        <v>0</v>
      </c>
    </row>
    <row r="88" customFormat="false" ht="15" hidden="false" customHeight="false" outlineLevel="0" collapsed="false">
      <c r="A88" s="10" t="s">
        <v>30</v>
      </c>
      <c r="B88" s="11" t="str">
        <f aca="false">IFERROR(INDEX(Summary!$B$7:$B$14,MATCH($A88,Summary!$A$7:$A$14,0)),"")</f>
        <v>TX</v>
      </c>
      <c r="C88" s="10" t="s">
        <v>30</v>
      </c>
      <c r="D88" s="10" t="n">
        <v>52</v>
      </c>
      <c r="E88" s="19" t="n">
        <v>46146</v>
      </c>
      <c r="F88" s="10" t="s">
        <v>256</v>
      </c>
      <c r="G88" s="10"/>
      <c r="H88" s="9" t="n">
        <v>15450</v>
      </c>
      <c r="I88" s="10" t="s">
        <v>213</v>
      </c>
      <c r="J88" s="10" t="s">
        <v>84</v>
      </c>
      <c r="K88" s="20" t="n">
        <f aca="false">IF(E88="","",($B$4-E88)/365.25)</f>
        <v>0.424366872005476</v>
      </c>
      <c r="L88" s="10" t="str">
        <f aca="false">IF(K88="","no date",IF(K88&lt;1,"0-1 yrs",IF(K88&lt;2,"1-2 yrs",IF(K88&lt;3,"2-3 yrs",IF(K88&lt;5,"3-5 yrs","5+ yrs")))))</f>
        <v>0-1 yrs</v>
      </c>
      <c r="M88" s="10" t="s">
        <v>85</v>
      </c>
      <c r="N88" s="11" t="n">
        <f aca="false">IFERROR(INDEX('State Rules'!$C$5:$C$11,MATCH($B88,'State Rules'!$A$5:$A$11,0)),"")</f>
        <v>1</v>
      </c>
      <c r="O88" s="19" t="n">
        <f aca="false">IF(OR(N88="",E88=""),"",EDATE(E88,12*N88))</f>
        <v>46511</v>
      </c>
      <c r="P88" s="19" t="n">
        <f aca="false">IF(E88="","",IFERROR(EDATE(E88,12*INDEX('State Rules'!$E$5:$E$11,MATCH($B88,'State Rules'!$A$5:$A$11,0))),""))</f>
        <v>47242</v>
      </c>
      <c r="Q88" s="10" t="str">
        <f aca="false">IF(O88="","",IFERROR(IF(O88&lt;=INDEX('State Rules'!$I$5:$I$11,MATCH($B88,'State Rules'!$A$5:$A$11,0)),"Yes","No"),""))</f>
        <v>No</v>
      </c>
      <c r="R88" s="10" t="str">
        <f aca="false">IF(P88="","",IFERROR(IF(P88&lt;=INDEX('State Rules'!$I$5:$I$11,MATCH($B88,'State Rules'!$A$5:$A$11,0)),"Yes","No"),""))</f>
        <v>No</v>
      </c>
      <c r="S88" s="7"/>
      <c r="T88" s="7"/>
      <c r="U88" s="21"/>
      <c r="V88" s="21"/>
      <c r="W88" s="21"/>
      <c r="X88" s="7"/>
      <c r="Y88" s="9" t="n">
        <f aca="false">IF(P88="","",IF(P88&lt;=$B$4,N(V88)+N(W88),0))</f>
        <v>0</v>
      </c>
    </row>
    <row r="89" customFormat="false" ht="15" hidden="false" customHeight="false" outlineLevel="0" collapsed="false">
      <c r="A89" s="10" t="s">
        <v>30</v>
      </c>
      <c r="B89" s="11" t="str">
        <f aca="false">IFERROR(INDEX(Summary!$B$7:$B$14,MATCH($A89,Summary!$A$7:$A$14,0)),"")</f>
        <v>TX</v>
      </c>
      <c r="C89" s="10" t="s">
        <v>30</v>
      </c>
      <c r="D89" s="10" t="n">
        <v>53</v>
      </c>
      <c r="E89" s="19" t="n">
        <v>46162</v>
      </c>
      <c r="F89" s="10" t="s">
        <v>257</v>
      </c>
      <c r="G89" s="10"/>
      <c r="H89" s="9" t="n">
        <v>644</v>
      </c>
      <c r="I89" s="10" t="s">
        <v>258</v>
      </c>
      <c r="J89" s="10" t="s">
        <v>84</v>
      </c>
      <c r="K89" s="20" t="n">
        <f aca="false">IF(E89="","",($B$4-E89)/365.25)</f>
        <v>0.380561259411362</v>
      </c>
      <c r="L89" s="10" t="str">
        <f aca="false">IF(K89="","no date",IF(K89&lt;1,"0-1 yrs",IF(K89&lt;2,"1-2 yrs",IF(K89&lt;3,"2-3 yrs",IF(K89&lt;5,"3-5 yrs","5+ yrs")))))</f>
        <v>0-1 yrs</v>
      </c>
      <c r="M89" s="10" t="s">
        <v>123</v>
      </c>
      <c r="N89" s="11" t="n">
        <f aca="false">IFERROR(INDEX('State Rules'!$C$5:$C$11,MATCH($B89,'State Rules'!$A$5:$A$11,0)),"")</f>
        <v>1</v>
      </c>
      <c r="O89" s="19" t="n">
        <f aca="false">IF(OR(N89="",E89=""),"",EDATE(E89,12*N89))</f>
        <v>46527</v>
      </c>
      <c r="P89" s="19" t="n">
        <f aca="false">IF(E89="","",IFERROR(EDATE(E89,12*INDEX('State Rules'!$E$5:$E$11,MATCH($B89,'State Rules'!$A$5:$A$11,0))),""))</f>
        <v>47258</v>
      </c>
      <c r="Q89" s="10" t="str">
        <f aca="false">IF(O89="","",IFERROR(IF(O89&lt;=INDEX('State Rules'!$I$5:$I$11,MATCH($B89,'State Rules'!$A$5:$A$11,0)),"Yes","No"),""))</f>
        <v>No</v>
      </c>
      <c r="R89" s="10" t="str">
        <f aca="false">IF(P89="","",IFERROR(IF(P89&lt;=INDEX('State Rules'!$I$5:$I$11,MATCH($B89,'State Rules'!$A$5:$A$11,0)),"Yes","No"),""))</f>
        <v>No</v>
      </c>
      <c r="S89" s="7"/>
      <c r="T89" s="7"/>
      <c r="U89" s="21"/>
      <c r="V89" s="21"/>
      <c r="W89" s="21"/>
      <c r="X89" s="7"/>
      <c r="Y89" s="9" t="n">
        <f aca="false">IF(P89="","",IF(P89&lt;=$B$4,N(V89)+N(W89),0))</f>
        <v>0</v>
      </c>
    </row>
    <row r="90" customFormat="false" ht="15" hidden="false" customHeight="false" outlineLevel="0" collapsed="false">
      <c r="A90" s="10" t="s">
        <v>30</v>
      </c>
      <c r="B90" s="11" t="str">
        <f aca="false">IFERROR(INDEX(Summary!$B$7:$B$14,MATCH($A90,Summary!$A$7:$A$14,0)),"")</f>
        <v>TX</v>
      </c>
      <c r="C90" s="10" t="s">
        <v>30</v>
      </c>
      <c r="D90" s="10" t="n">
        <v>54</v>
      </c>
      <c r="E90" s="19" t="n">
        <v>46188</v>
      </c>
      <c r="F90" s="10" t="s">
        <v>259</v>
      </c>
      <c r="G90" s="10" t="s">
        <v>260</v>
      </c>
      <c r="H90" s="9" t="n">
        <v>875</v>
      </c>
      <c r="I90" s="10" t="s">
        <v>261</v>
      </c>
      <c r="J90" s="10" t="s">
        <v>84</v>
      </c>
      <c r="K90" s="20" t="n">
        <f aca="false">IF(E90="","",($B$4-E90)/365.25)</f>
        <v>0.309377138945927</v>
      </c>
      <c r="L90" s="10" t="str">
        <f aca="false">IF(K90="","no date",IF(K90&lt;1,"0-1 yrs",IF(K90&lt;2,"1-2 yrs",IF(K90&lt;3,"2-3 yrs",IF(K90&lt;5,"3-5 yrs","5+ yrs")))))</f>
        <v>0-1 yrs</v>
      </c>
      <c r="M90" s="10" t="s">
        <v>85</v>
      </c>
      <c r="N90" s="11" t="n">
        <f aca="false">IFERROR(INDEX('State Rules'!$C$5:$C$11,MATCH($B90,'State Rules'!$A$5:$A$11,0)),"")</f>
        <v>1</v>
      </c>
      <c r="O90" s="19" t="n">
        <f aca="false">IF(OR(N90="",E90=""),"",EDATE(E90,12*N90))</f>
        <v>46553</v>
      </c>
      <c r="P90" s="19" t="n">
        <f aca="false">IF(E90="","",IFERROR(EDATE(E90,12*INDEX('State Rules'!$E$5:$E$11,MATCH($B90,'State Rules'!$A$5:$A$11,0))),""))</f>
        <v>47284</v>
      </c>
      <c r="Q90" s="10" t="str">
        <f aca="false">IF(O90="","",IFERROR(IF(O90&lt;=INDEX('State Rules'!$I$5:$I$11,MATCH($B90,'State Rules'!$A$5:$A$11,0)),"Yes","No"),""))</f>
        <v>No</v>
      </c>
      <c r="R90" s="10" t="str">
        <f aca="false">IF(P90="","",IFERROR(IF(P90&lt;=INDEX('State Rules'!$I$5:$I$11,MATCH($B90,'State Rules'!$A$5:$A$11,0)),"Yes","No"),""))</f>
        <v>No</v>
      </c>
      <c r="S90" s="7"/>
      <c r="T90" s="7"/>
      <c r="U90" s="21"/>
      <c r="V90" s="21"/>
      <c r="W90" s="21"/>
      <c r="X90" s="7"/>
      <c r="Y90" s="9" t="n">
        <f aca="false">IF(P90="","",IF(P90&lt;=$B$4,N(V90)+N(W90),0))</f>
        <v>0</v>
      </c>
    </row>
    <row r="91" customFormat="false" ht="15" hidden="false" customHeight="false" outlineLevel="0" collapsed="false">
      <c r="A91" s="10" t="s">
        <v>30</v>
      </c>
      <c r="B91" s="11" t="str">
        <f aca="false">IFERROR(INDEX(Summary!$B$7:$B$14,MATCH($A91,Summary!$A$7:$A$14,0)),"")</f>
        <v>TX</v>
      </c>
      <c r="C91" s="10" t="s">
        <v>30</v>
      </c>
      <c r="D91" s="10" t="n">
        <v>55</v>
      </c>
      <c r="E91" s="19" t="n">
        <v>46197</v>
      </c>
      <c r="F91" s="10" t="s">
        <v>262</v>
      </c>
      <c r="G91" s="10" t="s">
        <v>263</v>
      </c>
      <c r="H91" s="9" t="n">
        <v>922.5</v>
      </c>
      <c r="I91" s="10" t="s">
        <v>264</v>
      </c>
      <c r="J91" s="10" t="s">
        <v>84</v>
      </c>
      <c r="K91" s="20" t="n">
        <f aca="false">IF(E91="","",($B$4-E91)/365.25)</f>
        <v>0.284736481861739</v>
      </c>
      <c r="L91" s="10" t="str">
        <f aca="false">IF(K91="","no date",IF(K91&lt;1,"0-1 yrs",IF(K91&lt;2,"1-2 yrs",IF(K91&lt;3,"2-3 yrs",IF(K91&lt;5,"3-5 yrs","5+ yrs")))))</f>
        <v>0-1 yrs</v>
      </c>
      <c r="M91" s="10" t="s">
        <v>85</v>
      </c>
      <c r="N91" s="11" t="n">
        <f aca="false">IFERROR(INDEX('State Rules'!$C$5:$C$11,MATCH($B91,'State Rules'!$A$5:$A$11,0)),"")</f>
        <v>1</v>
      </c>
      <c r="O91" s="19" t="n">
        <f aca="false">IF(OR(N91="",E91=""),"",EDATE(E91,12*N91))</f>
        <v>46562</v>
      </c>
      <c r="P91" s="19" t="n">
        <f aca="false">IF(E91="","",IFERROR(EDATE(E91,12*INDEX('State Rules'!$E$5:$E$11,MATCH($B91,'State Rules'!$A$5:$A$11,0))),""))</f>
        <v>47293</v>
      </c>
      <c r="Q91" s="10" t="str">
        <f aca="false">IF(O91="","",IFERROR(IF(O91&lt;=INDEX('State Rules'!$I$5:$I$11,MATCH($B91,'State Rules'!$A$5:$A$11,0)),"Yes","No"),""))</f>
        <v>No</v>
      </c>
      <c r="R91" s="10" t="str">
        <f aca="false">IF(P91="","",IFERROR(IF(P91&lt;=INDEX('State Rules'!$I$5:$I$11,MATCH($B91,'State Rules'!$A$5:$A$11,0)),"Yes","No"),""))</f>
        <v>No</v>
      </c>
      <c r="S91" s="7"/>
      <c r="T91" s="7"/>
      <c r="U91" s="21"/>
      <c r="V91" s="21"/>
      <c r="W91" s="21"/>
      <c r="X91" s="7"/>
      <c r="Y91" s="9" t="n">
        <f aca="false">IF(P91="","",IF(P91&lt;=$B$4,N(V91)+N(W91),0))</f>
        <v>0</v>
      </c>
    </row>
    <row r="92" customFormat="false" ht="15" hidden="false" customHeight="false" outlineLevel="0" collapsed="false">
      <c r="A92" s="10" t="s">
        <v>30</v>
      </c>
      <c r="B92" s="11" t="str">
        <f aca="false">IFERROR(INDEX(Summary!$B$7:$B$14,MATCH($A92,Summary!$A$7:$A$14,0)),"")</f>
        <v>TX</v>
      </c>
      <c r="C92" s="10" t="s">
        <v>30</v>
      </c>
      <c r="D92" s="10" t="n">
        <v>56</v>
      </c>
      <c r="E92" s="19" t="n">
        <v>46202</v>
      </c>
      <c r="F92" s="10" t="s">
        <v>265</v>
      </c>
      <c r="G92" s="10" t="s">
        <v>266</v>
      </c>
      <c r="H92" s="9" t="n">
        <v>1000</v>
      </c>
      <c r="I92" s="10"/>
      <c r="J92" s="10" t="s">
        <v>84</v>
      </c>
      <c r="K92" s="20" t="n">
        <f aca="false">IF(E92="","",($B$4-E92)/365.25)</f>
        <v>0.271047227926078</v>
      </c>
      <c r="L92" s="10" t="str">
        <f aca="false">IF(K92="","no date",IF(K92&lt;1,"0-1 yrs",IF(K92&lt;2,"1-2 yrs",IF(K92&lt;3,"2-3 yrs",IF(K92&lt;5,"3-5 yrs","5+ yrs")))))</f>
        <v>0-1 yrs</v>
      </c>
      <c r="M92" s="10" t="s">
        <v>85</v>
      </c>
      <c r="N92" s="11" t="n">
        <f aca="false">IFERROR(INDEX('State Rules'!$C$5:$C$11,MATCH($B92,'State Rules'!$A$5:$A$11,0)),"")</f>
        <v>1</v>
      </c>
      <c r="O92" s="19" t="n">
        <f aca="false">IF(OR(N92="",E92=""),"",EDATE(E92,12*N92))</f>
        <v>46567</v>
      </c>
      <c r="P92" s="19" t="n">
        <f aca="false">IF(E92="","",IFERROR(EDATE(E92,12*INDEX('State Rules'!$E$5:$E$11,MATCH($B92,'State Rules'!$A$5:$A$11,0))),""))</f>
        <v>47298</v>
      </c>
      <c r="Q92" s="10" t="str">
        <f aca="false">IF(O92="","",IFERROR(IF(O92&lt;=INDEX('State Rules'!$I$5:$I$11,MATCH($B92,'State Rules'!$A$5:$A$11,0)),"Yes","No"),""))</f>
        <v>No</v>
      </c>
      <c r="R92" s="10" t="str">
        <f aca="false">IF(P92="","",IFERROR(IF(P92&lt;=INDEX('State Rules'!$I$5:$I$11,MATCH($B92,'State Rules'!$A$5:$A$11,0)),"Yes","No"),""))</f>
        <v>No</v>
      </c>
      <c r="S92" s="7"/>
      <c r="T92" s="7"/>
      <c r="U92" s="21"/>
      <c r="V92" s="21"/>
      <c r="W92" s="21"/>
      <c r="X92" s="7"/>
      <c r="Y92" s="9" t="n">
        <f aca="false">IF(P92="","",IF(P92&lt;=$B$4,N(V92)+N(W92),0))</f>
        <v>0</v>
      </c>
    </row>
    <row r="93" customFormat="false" ht="15" hidden="false" customHeight="false" outlineLevel="0" collapsed="false">
      <c r="A93" s="10" t="s">
        <v>30</v>
      </c>
      <c r="B93" s="11" t="str">
        <f aca="false">IFERROR(INDEX(Summary!$B$7:$B$14,MATCH($A93,Summary!$A$7:$A$14,0)),"")</f>
        <v>TX</v>
      </c>
      <c r="C93" s="10" t="s">
        <v>30</v>
      </c>
      <c r="D93" s="10" t="n">
        <v>57</v>
      </c>
      <c r="E93" s="19" t="n">
        <v>46203</v>
      </c>
      <c r="F93" s="10" t="s">
        <v>267</v>
      </c>
      <c r="G93" s="10" t="s">
        <v>268</v>
      </c>
      <c r="H93" s="9" t="n">
        <v>1700</v>
      </c>
      <c r="I93" s="10" t="s">
        <v>269</v>
      </c>
      <c r="J93" s="10" t="s">
        <v>84</v>
      </c>
      <c r="K93" s="20" t="n">
        <f aca="false">IF(E93="","",($B$4-E93)/365.25)</f>
        <v>0.268309377138946</v>
      </c>
      <c r="L93" s="10" t="str">
        <f aca="false">IF(K93="","no date",IF(K93&lt;1,"0-1 yrs",IF(K93&lt;2,"1-2 yrs",IF(K93&lt;3,"2-3 yrs",IF(K93&lt;5,"3-5 yrs","5+ yrs")))))</f>
        <v>0-1 yrs</v>
      </c>
      <c r="M93" s="10" t="s">
        <v>85</v>
      </c>
      <c r="N93" s="11" t="n">
        <f aca="false">IFERROR(INDEX('State Rules'!$C$5:$C$11,MATCH($B93,'State Rules'!$A$5:$A$11,0)),"")</f>
        <v>1</v>
      </c>
      <c r="O93" s="19" t="n">
        <f aca="false">IF(OR(N93="",E93=""),"",EDATE(E93,12*N93))</f>
        <v>46568</v>
      </c>
      <c r="P93" s="19" t="n">
        <f aca="false">IF(E93="","",IFERROR(EDATE(E93,12*INDEX('State Rules'!$E$5:$E$11,MATCH($B93,'State Rules'!$A$5:$A$11,0))),""))</f>
        <v>47299</v>
      </c>
      <c r="Q93" s="10" t="str">
        <f aca="false">IF(O93="","",IFERROR(IF(O93&lt;=INDEX('State Rules'!$I$5:$I$11,MATCH($B93,'State Rules'!$A$5:$A$11,0)),"Yes","No"),""))</f>
        <v>No</v>
      </c>
      <c r="R93" s="10" t="str">
        <f aca="false">IF(P93="","",IFERROR(IF(P93&lt;=INDEX('State Rules'!$I$5:$I$11,MATCH($B93,'State Rules'!$A$5:$A$11,0)),"Yes","No"),""))</f>
        <v>No</v>
      </c>
      <c r="S93" s="7"/>
      <c r="T93" s="7"/>
      <c r="U93" s="21"/>
      <c r="V93" s="21"/>
      <c r="W93" s="21"/>
      <c r="X93" s="7"/>
      <c r="Y93" s="9" t="n">
        <f aca="false">IF(P93="","",IF(P93&lt;=$B$4,N(V93)+N(W93),0))</f>
        <v>0</v>
      </c>
    </row>
    <row r="94" customFormat="false" ht="15" hidden="false" customHeight="false" outlineLevel="0" collapsed="false">
      <c r="A94" s="10" t="s">
        <v>30</v>
      </c>
      <c r="B94" s="11" t="str">
        <f aca="false">IFERROR(INDEX(Summary!$B$7:$B$14,MATCH($A94,Summary!$A$7:$A$14,0)),"")</f>
        <v>TX</v>
      </c>
      <c r="C94" s="10" t="s">
        <v>30</v>
      </c>
      <c r="D94" s="10" t="n">
        <v>58</v>
      </c>
      <c r="E94" s="19" t="n">
        <v>46204</v>
      </c>
      <c r="F94" s="10" t="s">
        <v>270</v>
      </c>
      <c r="G94" s="10" t="s">
        <v>243</v>
      </c>
      <c r="H94" s="9" t="n">
        <v>644</v>
      </c>
      <c r="I94" s="10" t="s">
        <v>271</v>
      </c>
      <c r="J94" s="10" t="s">
        <v>84</v>
      </c>
      <c r="K94" s="20" t="n">
        <f aca="false">IF(E94="","",($B$4-E94)/365.25)</f>
        <v>0.265571526351814</v>
      </c>
      <c r="L94" s="10" t="str">
        <f aca="false">IF(K94="","no date",IF(K94&lt;1,"0-1 yrs",IF(K94&lt;2,"1-2 yrs",IF(K94&lt;3,"2-3 yrs",IF(K94&lt;5,"3-5 yrs","5+ yrs")))))</f>
        <v>0-1 yrs</v>
      </c>
      <c r="M94" s="10" t="s">
        <v>123</v>
      </c>
      <c r="N94" s="11" t="n">
        <f aca="false">IFERROR(INDEX('State Rules'!$C$5:$C$11,MATCH($B94,'State Rules'!$A$5:$A$11,0)),"")</f>
        <v>1</v>
      </c>
      <c r="O94" s="19" t="n">
        <f aca="false">IF(OR(N94="",E94=""),"",EDATE(E94,12*N94))</f>
        <v>46569</v>
      </c>
      <c r="P94" s="19" t="n">
        <f aca="false">IF(E94="","",IFERROR(EDATE(E94,12*INDEX('State Rules'!$E$5:$E$11,MATCH($B94,'State Rules'!$A$5:$A$11,0))),""))</f>
        <v>47300</v>
      </c>
      <c r="Q94" s="10" t="str">
        <f aca="false">IF(O94="","",IFERROR(IF(O94&lt;=INDEX('State Rules'!$I$5:$I$11,MATCH($B94,'State Rules'!$A$5:$A$11,0)),"Yes","No"),""))</f>
        <v>No</v>
      </c>
      <c r="R94" s="10" t="str">
        <f aca="false">IF(P94="","",IFERROR(IF(P94&lt;=INDEX('State Rules'!$I$5:$I$11,MATCH($B94,'State Rules'!$A$5:$A$11,0)),"Yes","No"),""))</f>
        <v>No</v>
      </c>
      <c r="S94" s="7"/>
      <c r="T94" s="7"/>
      <c r="U94" s="21"/>
      <c r="V94" s="21"/>
      <c r="W94" s="21"/>
      <c r="X94" s="7"/>
      <c r="Y94" s="9" t="n">
        <f aca="false">IF(P94="","",IF(P94&lt;=$B$4,N(V94)+N(W94),0))</f>
        <v>0</v>
      </c>
    </row>
    <row r="95" customFormat="false" ht="15" hidden="false" customHeight="false" outlineLevel="0" collapsed="false">
      <c r="A95" s="10" t="s">
        <v>30</v>
      </c>
      <c r="B95" s="11" t="str">
        <f aca="false">IFERROR(INDEX(Summary!$B$7:$B$14,MATCH($A95,Summary!$A$7:$A$14,0)),"")</f>
        <v>TX</v>
      </c>
      <c r="C95" s="10" t="s">
        <v>30</v>
      </c>
      <c r="D95" s="10" t="n">
        <v>59</v>
      </c>
      <c r="E95" s="19" t="n">
        <v>46224</v>
      </c>
      <c r="F95" s="10" t="s">
        <v>272</v>
      </c>
      <c r="G95" s="10" t="s">
        <v>273</v>
      </c>
      <c r="H95" s="9" t="n">
        <v>495</v>
      </c>
      <c r="I95" s="10" t="s">
        <v>274</v>
      </c>
      <c r="J95" s="10" t="s">
        <v>84</v>
      </c>
      <c r="K95" s="20" t="n">
        <f aca="false">IF(E95="","",($B$4-E95)/365.25)</f>
        <v>0.210814510609172</v>
      </c>
      <c r="L95" s="10" t="str">
        <f aca="false">IF(K95="","no date",IF(K95&lt;1,"0-1 yrs",IF(K95&lt;2,"1-2 yrs",IF(K95&lt;3,"2-3 yrs",IF(K95&lt;5,"3-5 yrs","5+ yrs")))))</f>
        <v>0-1 yrs</v>
      </c>
      <c r="M95" s="10" t="s">
        <v>123</v>
      </c>
      <c r="N95" s="11" t="n">
        <f aca="false">IFERROR(INDEX('State Rules'!$C$5:$C$11,MATCH($B95,'State Rules'!$A$5:$A$11,0)),"")</f>
        <v>1</v>
      </c>
      <c r="O95" s="19" t="n">
        <f aca="false">IF(OR(N95="",E95=""),"",EDATE(E95,12*N95))</f>
        <v>46589</v>
      </c>
      <c r="P95" s="19" t="n">
        <f aca="false">IF(E95="","",IFERROR(EDATE(E95,12*INDEX('State Rules'!$E$5:$E$11,MATCH($B95,'State Rules'!$A$5:$A$11,0))),""))</f>
        <v>47320</v>
      </c>
      <c r="Q95" s="10" t="str">
        <f aca="false">IF(O95="","",IFERROR(IF(O95&lt;=INDEX('State Rules'!$I$5:$I$11,MATCH($B95,'State Rules'!$A$5:$A$11,0)),"Yes","No"),""))</f>
        <v>No</v>
      </c>
      <c r="R95" s="10" t="str">
        <f aca="false">IF(P95="","",IFERROR(IF(P95&lt;=INDEX('State Rules'!$I$5:$I$11,MATCH($B95,'State Rules'!$A$5:$A$11,0)),"Yes","No"),""))</f>
        <v>No</v>
      </c>
      <c r="S95" s="7"/>
      <c r="T95" s="7"/>
      <c r="U95" s="21"/>
      <c r="V95" s="21"/>
      <c r="W95" s="21"/>
      <c r="X95" s="7"/>
      <c r="Y95" s="9" t="n">
        <f aca="false">IF(P95="","",IF(P95&lt;=$B$4,N(V95)+N(W95),0))</f>
        <v>0</v>
      </c>
    </row>
    <row r="96" customFormat="false" ht="15" hidden="false" customHeight="false" outlineLevel="0" collapsed="false">
      <c r="A96" s="10" t="s">
        <v>30</v>
      </c>
      <c r="B96" s="11" t="str">
        <f aca="false">IFERROR(INDEX(Summary!$B$7:$B$14,MATCH($A96,Summary!$A$7:$A$14,0)),"")</f>
        <v>TX</v>
      </c>
      <c r="C96" s="10" t="s">
        <v>30</v>
      </c>
      <c r="D96" s="10" t="n">
        <v>60</v>
      </c>
      <c r="E96" s="19" t="n">
        <v>46239</v>
      </c>
      <c r="F96" s="10"/>
      <c r="G96" s="10"/>
      <c r="H96" s="9" t="n">
        <v>795</v>
      </c>
      <c r="I96" s="10"/>
      <c r="J96" s="10" t="s">
        <v>84</v>
      </c>
      <c r="K96" s="20" t="n">
        <f aca="false">IF(E96="","",($B$4-E96)/365.25)</f>
        <v>0.16974674880219</v>
      </c>
      <c r="L96" s="10" t="str">
        <f aca="false">IF(K96="","no date",IF(K96&lt;1,"0-1 yrs",IF(K96&lt;2,"1-2 yrs",IF(K96&lt;3,"2-3 yrs",IF(K96&lt;5,"3-5 yrs","5+ yrs")))))</f>
        <v>0-1 yrs</v>
      </c>
      <c r="M96" s="10" t="s">
        <v>85</v>
      </c>
      <c r="N96" s="11" t="n">
        <f aca="false">IFERROR(INDEX('State Rules'!$C$5:$C$11,MATCH($B96,'State Rules'!$A$5:$A$11,0)),"")</f>
        <v>1</v>
      </c>
      <c r="O96" s="19" t="n">
        <f aca="false">IF(OR(N96="",E96=""),"",EDATE(E96,12*N96))</f>
        <v>46604</v>
      </c>
      <c r="P96" s="19" t="n">
        <f aca="false">IF(E96="","",IFERROR(EDATE(E96,12*INDEX('State Rules'!$E$5:$E$11,MATCH($B96,'State Rules'!$A$5:$A$11,0))),""))</f>
        <v>47335</v>
      </c>
      <c r="Q96" s="10" t="str">
        <f aca="false">IF(O96="","",IFERROR(IF(O96&lt;=INDEX('State Rules'!$I$5:$I$11,MATCH($B96,'State Rules'!$A$5:$A$11,0)),"Yes","No"),""))</f>
        <v>No</v>
      </c>
      <c r="R96" s="10" t="str">
        <f aca="false">IF(P96="","",IFERROR(IF(P96&lt;=INDEX('State Rules'!$I$5:$I$11,MATCH($B96,'State Rules'!$A$5:$A$11,0)),"Yes","No"),""))</f>
        <v>No</v>
      </c>
      <c r="S96" s="7"/>
      <c r="T96" s="7"/>
      <c r="U96" s="21"/>
      <c r="V96" s="21"/>
      <c r="W96" s="21"/>
      <c r="X96" s="7"/>
      <c r="Y96" s="9" t="n">
        <f aca="false">IF(P96="","",IF(P96&lt;=$B$4,N(V96)+N(W96),0))</f>
        <v>0</v>
      </c>
    </row>
    <row r="97" customFormat="false" ht="15" hidden="false" customHeight="false" outlineLevel="0" collapsed="false">
      <c r="A97" s="10" t="s">
        <v>31</v>
      </c>
      <c r="B97" s="11" t="str">
        <f aca="false">IFERROR(INDEX(Summary!$B$7:$B$14,MATCH($A97,Summary!$A$7:$A$14,0)),"")</f>
        <v>TX</v>
      </c>
      <c r="C97" s="10" t="s">
        <v>31</v>
      </c>
      <c r="D97" s="10" t="n">
        <v>22</v>
      </c>
      <c r="E97" s="19" t="n">
        <v>44951</v>
      </c>
      <c r="F97" s="10" t="s">
        <v>275</v>
      </c>
      <c r="G97" s="10" t="s">
        <v>203</v>
      </c>
      <c r="H97" s="9" t="n">
        <v>120</v>
      </c>
      <c r="I97" s="10" t="s">
        <v>276</v>
      </c>
      <c r="J97" s="10" t="s">
        <v>84</v>
      </c>
      <c r="K97" s="20" t="n">
        <f aca="false">IF(E97="","",($B$4-E97)/365.25)</f>
        <v>3.69609856262834</v>
      </c>
      <c r="L97" s="10" t="str">
        <f aca="false">IF(K97="","no date",IF(K97&lt;1,"0-1 yrs",IF(K97&lt;2,"1-2 yrs",IF(K97&lt;3,"2-3 yrs",IF(K97&lt;5,"3-5 yrs","5+ yrs")))))</f>
        <v>3-5 yrs</v>
      </c>
      <c r="M97" s="10" t="s">
        <v>85</v>
      </c>
      <c r="N97" s="11" t="n">
        <f aca="false">IFERROR(INDEX('State Rules'!$C$5:$C$11,MATCH($B97,'State Rules'!$A$5:$A$11,0)),"")</f>
        <v>1</v>
      </c>
      <c r="O97" s="19" t="n">
        <f aca="false">IF(OR(N97="",E97=""),"",EDATE(E97,12*N97))</f>
        <v>45316</v>
      </c>
      <c r="P97" s="19" t="n">
        <f aca="false">IF(E97="","",IFERROR(EDATE(E97,12*INDEX('State Rules'!$E$5:$E$11,MATCH($B97,'State Rules'!$A$5:$A$11,0))),""))</f>
        <v>46047</v>
      </c>
      <c r="Q97" s="10" t="str">
        <f aca="false">IF(O97="","",IFERROR(IF(O97&lt;=INDEX('State Rules'!$I$5:$I$11,MATCH($B97,'State Rules'!$A$5:$A$11,0)),"Yes","No"),""))</f>
        <v>Yes</v>
      </c>
      <c r="R97" s="10" t="str">
        <f aca="false">IF(P97="","",IFERROR(IF(P97&lt;=INDEX('State Rules'!$I$5:$I$11,MATCH($B97,'State Rules'!$A$5:$A$11,0)),"Yes","No"),""))</f>
        <v>Yes</v>
      </c>
      <c r="S97" s="7"/>
      <c r="T97" s="7"/>
      <c r="U97" s="21"/>
      <c r="V97" s="21"/>
      <c r="W97" s="21"/>
      <c r="X97" s="7"/>
      <c r="Y97" s="9" t="n">
        <f aca="false">IF(P97="","",IF(P97&lt;=$B$4,N(V97)+N(W97),0))</f>
        <v>0</v>
      </c>
    </row>
    <row r="98" customFormat="false" ht="15" hidden="false" customHeight="false" outlineLevel="0" collapsed="false">
      <c r="A98" s="10" t="s">
        <v>31</v>
      </c>
      <c r="B98" s="11" t="str">
        <f aca="false">IFERROR(INDEX(Summary!$B$7:$B$14,MATCH($A98,Summary!$A$7:$A$14,0)),"")</f>
        <v>TX</v>
      </c>
      <c r="C98" s="10" t="s">
        <v>31</v>
      </c>
      <c r="D98" s="10" t="n">
        <v>23</v>
      </c>
      <c r="E98" s="19" t="n">
        <v>45049</v>
      </c>
      <c r="F98" s="10" t="s">
        <v>277</v>
      </c>
      <c r="G98" s="10" t="s">
        <v>278</v>
      </c>
      <c r="H98" s="9" t="n">
        <v>544</v>
      </c>
      <c r="I98" s="10" t="s">
        <v>279</v>
      </c>
      <c r="J98" s="10" t="s">
        <v>84</v>
      </c>
      <c r="K98" s="20" t="n">
        <f aca="false">IF(E98="","",($B$4-E98)/365.25)</f>
        <v>3.42778918548939</v>
      </c>
      <c r="L98" s="10" t="str">
        <f aca="false">IF(K98="","no date",IF(K98&lt;1,"0-1 yrs",IF(K98&lt;2,"1-2 yrs",IF(K98&lt;3,"2-3 yrs",IF(K98&lt;5,"3-5 yrs","5+ yrs")))))</f>
        <v>3-5 yrs</v>
      </c>
      <c r="M98" s="10" t="s">
        <v>85</v>
      </c>
      <c r="N98" s="11" t="n">
        <f aca="false">IFERROR(INDEX('State Rules'!$C$5:$C$11,MATCH($B98,'State Rules'!$A$5:$A$11,0)),"")</f>
        <v>1</v>
      </c>
      <c r="O98" s="19" t="n">
        <f aca="false">IF(OR(N98="",E98=""),"",EDATE(E98,12*N98))</f>
        <v>45415</v>
      </c>
      <c r="P98" s="19" t="n">
        <f aca="false">IF(E98="","",IFERROR(EDATE(E98,12*INDEX('State Rules'!$E$5:$E$11,MATCH($B98,'State Rules'!$A$5:$A$11,0))),""))</f>
        <v>46145</v>
      </c>
      <c r="Q98" s="10" t="str">
        <f aca="false">IF(O98="","",IFERROR(IF(O98&lt;=INDEX('State Rules'!$I$5:$I$11,MATCH($B98,'State Rules'!$A$5:$A$11,0)),"Yes","No"),""))</f>
        <v>Yes</v>
      </c>
      <c r="R98" s="10" t="str">
        <f aca="false">IF(P98="","",IFERROR(IF(P98&lt;=INDEX('State Rules'!$I$5:$I$11,MATCH($B98,'State Rules'!$A$5:$A$11,0)),"Yes","No"),""))</f>
        <v>Yes</v>
      </c>
      <c r="S98" s="7"/>
      <c r="T98" s="7"/>
      <c r="U98" s="21"/>
      <c r="V98" s="21"/>
      <c r="W98" s="21"/>
      <c r="X98" s="7"/>
      <c r="Y98" s="9" t="n">
        <f aca="false">IF(P98="","",IF(P98&lt;=$B$4,N(V98)+N(W98),0))</f>
        <v>0</v>
      </c>
    </row>
    <row r="99" customFormat="false" ht="15" hidden="false" customHeight="false" outlineLevel="0" collapsed="false">
      <c r="A99" s="10" t="s">
        <v>31</v>
      </c>
      <c r="B99" s="11" t="str">
        <f aca="false">IFERROR(INDEX(Summary!$B$7:$B$14,MATCH($A99,Summary!$A$7:$A$14,0)),"")</f>
        <v>TX</v>
      </c>
      <c r="C99" s="10" t="s">
        <v>31</v>
      </c>
      <c r="D99" s="10" t="n">
        <v>24</v>
      </c>
      <c r="E99" s="19" t="n">
        <v>45093</v>
      </c>
      <c r="F99" s="10" t="s">
        <v>280</v>
      </c>
      <c r="G99" s="10" t="s">
        <v>281</v>
      </c>
      <c r="H99" s="9" t="n">
        <v>250</v>
      </c>
      <c r="I99" s="10" t="s">
        <v>282</v>
      </c>
      <c r="J99" s="10" t="s">
        <v>84</v>
      </c>
      <c r="K99" s="20" t="n">
        <f aca="false">IF(E99="","",($B$4-E99)/365.25)</f>
        <v>3.30732375085558</v>
      </c>
      <c r="L99" s="10" t="str">
        <f aca="false">IF(K99="","no date",IF(K99&lt;1,"0-1 yrs",IF(K99&lt;2,"1-2 yrs",IF(K99&lt;3,"2-3 yrs",IF(K99&lt;5,"3-5 yrs","5+ yrs")))))</f>
        <v>3-5 yrs</v>
      </c>
      <c r="M99" s="10" t="s">
        <v>85</v>
      </c>
      <c r="N99" s="11" t="n">
        <f aca="false">IFERROR(INDEX('State Rules'!$C$5:$C$11,MATCH($B99,'State Rules'!$A$5:$A$11,0)),"")</f>
        <v>1</v>
      </c>
      <c r="O99" s="19" t="n">
        <f aca="false">IF(OR(N99="",E99=""),"",EDATE(E99,12*N99))</f>
        <v>45459</v>
      </c>
      <c r="P99" s="19" t="n">
        <f aca="false">IF(E99="","",IFERROR(EDATE(E99,12*INDEX('State Rules'!$E$5:$E$11,MATCH($B99,'State Rules'!$A$5:$A$11,0))),""))</f>
        <v>46189</v>
      </c>
      <c r="Q99" s="10" t="str">
        <f aca="false">IF(O99="","",IFERROR(IF(O99&lt;=INDEX('State Rules'!$I$5:$I$11,MATCH($B99,'State Rules'!$A$5:$A$11,0)),"Yes","No"),""))</f>
        <v>Yes</v>
      </c>
      <c r="R99" s="10" t="str">
        <f aca="false">IF(P99="","",IFERROR(IF(P99&lt;=INDEX('State Rules'!$I$5:$I$11,MATCH($B99,'State Rules'!$A$5:$A$11,0)),"Yes","No"),""))</f>
        <v>Yes</v>
      </c>
      <c r="S99" s="7"/>
      <c r="T99" s="7"/>
      <c r="U99" s="21"/>
      <c r="V99" s="21"/>
      <c r="W99" s="21"/>
      <c r="X99" s="7"/>
      <c r="Y99" s="9" t="n">
        <f aca="false">IF(P99="","",IF(P99&lt;=$B$4,N(V99)+N(W99),0))</f>
        <v>0</v>
      </c>
    </row>
    <row r="100" customFormat="false" ht="15" hidden="false" customHeight="false" outlineLevel="0" collapsed="false">
      <c r="A100" s="10" t="s">
        <v>31</v>
      </c>
      <c r="B100" s="11" t="str">
        <f aca="false">IFERROR(INDEX(Summary!$B$7:$B$14,MATCH($A100,Summary!$A$7:$A$14,0)),"")</f>
        <v>TX</v>
      </c>
      <c r="C100" s="10" t="s">
        <v>31</v>
      </c>
      <c r="D100" s="10" t="n">
        <v>25</v>
      </c>
      <c r="E100" s="19" t="n">
        <v>45093</v>
      </c>
      <c r="F100" s="10" t="s">
        <v>283</v>
      </c>
      <c r="G100" s="10"/>
      <c r="H100" s="9" t="n">
        <v>644</v>
      </c>
      <c r="I100" s="10" t="s">
        <v>284</v>
      </c>
      <c r="J100" s="10" t="s">
        <v>84</v>
      </c>
      <c r="K100" s="20" t="n">
        <f aca="false">IF(E100="","",($B$4-E100)/365.25)</f>
        <v>3.30732375085558</v>
      </c>
      <c r="L100" s="10" t="str">
        <f aca="false">IF(K100="","no date",IF(K100&lt;1,"0-1 yrs",IF(K100&lt;2,"1-2 yrs",IF(K100&lt;3,"2-3 yrs",IF(K100&lt;5,"3-5 yrs","5+ yrs")))))</f>
        <v>3-5 yrs</v>
      </c>
      <c r="M100" s="22" t="s">
        <v>96</v>
      </c>
      <c r="N100" s="11" t="n">
        <f aca="false">IFERROR(INDEX('State Rules'!$C$5:$C$11,MATCH($B100,'State Rules'!$A$5:$A$11,0)),"")</f>
        <v>1</v>
      </c>
      <c r="O100" s="19" t="n">
        <f aca="false">IF(OR(N100="",E100=""),"",EDATE(E100,12*N100))</f>
        <v>45459</v>
      </c>
      <c r="P100" s="19" t="n">
        <f aca="false">IF(E100="","",IFERROR(EDATE(E100,12*INDEX('State Rules'!$E$5:$E$11,MATCH($B100,'State Rules'!$A$5:$A$11,0))),""))</f>
        <v>46189</v>
      </c>
      <c r="Q100" s="10" t="str">
        <f aca="false">IF(O100="","",IFERROR(IF(O100&lt;=INDEX('State Rules'!$I$5:$I$11,MATCH($B100,'State Rules'!$A$5:$A$11,0)),"Yes","No"),""))</f>
        <v>Yes</v>
      </c>
      <c r="R100" s="10" t="str">
        <f aca="false">IF(P100="","",IFERROR(IF(P100&lt;=INDEX('State Rules'!$I$5:$I$11,MATCH($B100,'State Rules'!$A$5:$A$11,0)),"Yes","No"),""))</f>
        <v>Yes</v>
      </c>
      <c r="S100" s="7"/>
      <c r="T100" s="7"/>
      <c r="U100" s="21"/>
      <c r="V100" s="21"/>
      <c r="W100" s="21"/>
      <c r="X100" s="7"/>
      <c r="Y100" s="9" t="n">
        <f aca="false">IF(P100="","",IF(P100&lt;=$B$4,N(V100)+N(W100),0))</f>
        <v>0</v>
      </c>
    </row>
    <row r="101" customFormat="false" ht="15" hidden="false" customHeight="false" outlineLevel="0" collapsed="false">
      <c r="A101" s="10" t="s">
        <v>31</v>
      </c>
      <c r="B101" s="11" t="str">
        <f aca="false">IFERROR(INDEX(Summary!$B$7:$B$14,MATCH($A101,Summary!$A$7:$A$14,0)),"")</f>
        <v>TX</v>
      </c>
      <c r="C101" s="10" t="s">
        <v>31</v>
      </c>
      <c r="D101" s="10" t="n">
        <v>26</v>
      </c>
      <c r="E101" s="19" t="n">
        <v>45133</v>
      </c>
      <c r="F101" s="10" t="s">
        <v>285</v>
      </c>
      <c r="G101" s="10" t="s">
        <v>286</v>
      </c>
      <c r="H101" s="9" t="n">
        <v>150</v>
      </c>
      <c r="I101" s="10"/>
      <c r="J101" s="10" t="s">
        <v>84</v>
      </c>
      <c r="K101" s="20" t="n">
        <f aca="false">IF(E101="","",($B$4-E101)/365.25)</f>
        <v>3.19780971937029</v>
      </c>
      <c r="L101" s="10" t="str">
        <f aca="false">IF(K101="","no date",IF(K101&lt;1,"0-1 yrs",IF(K101&lt;2,"1-2 yrs",IF(K101&lt;3,"2-3 yrs",IF(K101&lt;5,"3-5 yrs","5+ yrs")))))</f>
        <v>3-5 yrs</v>
      </c>
      <c r="M101" s="10" t="s">
        <v>85</v>
      </c>
      <c r="N101" s="11" t="n">
        <f aca="false">IFERROR(INDEX('State Rules'!$C$5:$C$11,MATCH($B101,'State Rules'!$A$5:$A$11,0)),"")</f>
        <v>1</v>
      </c>
      <c r="O101" s="19" t="n">
        <f aca="false">IF(OR(N101="",E101=""),"",EDATE(E101,12*N101))</f>
        <v>45499</v>
      </c>
      <c r="P101" s="19" t="n">
        <f aca="false">IF(E101="","",IFERROR(EDATE(E101,12*INDEX('State Rules'!$E$5:$E$11,MATCH($B101,'State Rules'!$A$5:$A$11,0))),""))</f>
        <v>46229</v>
      </c>
      <c r="Q101" s="10" t="str">
        <f aca="false">IF(O101="","",IFERROR(IF(O101&lt;=INDEX('State Rules'!$I$5:$I$11,MATCH($B101,'State Rules'!$A$5:$A$11,0)),"Yes","No"),""))</f>
        <v>Yes</v>
      </c>
      <c r="R101" s="10" t="str">
        <f aca="false">IF(P101="","",IFERROR(IF(P101&lt;=INDEX('State Rules'!$I$5:$I$11,MATCH($B101,'State Rules'!$A$5:$A$11,0)),"Yes","No"),""))</f>
        <v>Yes</v>
      </c>
      <c r="S101" s="7"/>
      <c r="T101" s="7"/>
      <c r="U101" s="21"/>
      <c r="V101" s="21"/>
      <c r="W101" s="21"/>
      <c r="X101" s="7"/>
      <c r="Y101" s="9" t="n">
        <f aca="false">IF(P101="","",IF(P101&lt;=$B$4,N(V101)+N(W101),0))</f>
        <v>0</v>
      </c>
    </row>
    <row r="102" customFormat="false" ht="15" hidden="false" customHeight="false" outlineLevel="0" collapsed="false">
      <c r="A102" s="10" t="s">
        <v>31</v>
      </c>
      <c r="B102" s="11" t="str">
        <f aca="false">IFERROR(INDEX(Summary!$B$7:$B$14,MATCH($A102,Summary!$A$7:$A$14,0)),"")</f>
        <v>TX</v>
      </c>
      <c r="C102" s="10" t="s">
        <v>31</v>
      </c>
      <c r="D102" s="10" t="n">
        <v>27</v>
      </c>
      <c r="E102" s="19" t="n">
        <v>45135</v>
      </c>
      <c r="F102" s="10" t="s">
        <v>287</v>
      </c>
      <c r="G102" s="10" t="s">
        <v>288</v>
      </c>
      <c r="H102" s="9" t="n">
        <v>150</v>
      </c>
      <c r="I102" s="10" t="s">
        <v>289</v>
      </c>
      <c r="J102" s="10" t="s">
        <v>84</v>
      </c>
      <c r="K102" s="20" t="n">
        <f aca="false">IF(E102="","",($B$4-E102)/365.25)</f>
        <v>3.19233401779603</v>
      </c>
      <c r="L102" s="10" t="str">
        <f aca="false">IF(K102="","no date",IF(K102&lt;1,"0-1 yrs",IF(K102&lt;2,"1-2 yrs",IF(K102&lt;3,"2-3 yrs",IF(K102&lt;5,"3-5 yrs","5+ yrs")))))</f>
        <v>3-5 yrs</v>
      </c>
      <c r="M102" s="10" t="s">
        <v>85</v>
      </c>
      <c r="N102" s="11" t="n">
        <f aca="false">IFERROR(INDEX('State Rules'!$C$5:$C$11,MATCH($B102,'State Rules'!$A$5:$A$11,0)),"")</f>
        <v>1</v>
      </c>
      <c r="O102" s="19" t="n">
        <f aca="false">IF(OR(N102="",E102=""),"",EDATE(E102,12*N102))</f>
        <v>45501</v>
      </c>
      <c r="P102" s="19" t="n">
        <f aca="false">IF(E102="","",IFERROR(EDATE(E102,12*INDEX('State Rules'!$E$5:$E$11,MATCH($B102,'State Rules'!$A$5:$A$11,0))),""))</f>
        <v>46231</v>
      </c>
      <c r="Q102" s="10" t="str">
        <f aca="false">IF(O102="","",IFERROR(IF(O102&lt;=INDEX('State Rules'!$I$5:$I$11,MATCH($B102,'State Rules'!$A$5:$A$11,0)),"Yes","No"),""))</f>
        <v>Yes</v>
      </c>
      <c r="R102" s="10" t="str">
        <f aca="false">IF(P102="","",IFERROR(IF(P102&lt;=INDEX('State Rules'!$I$5:$I$11,MATCH($B102,'State Rules'!$A$5:$A$11,0)),"Yes","No"),""))</f>
        <v>Yes</v>
      </c>
      <c r="S102" s="7"/>
      <c r="T102" s="7"/>
      <c r="U102" s="21"/>
      <c r="V102" s="21"/>
      <c r="W102" s="21"/>
      <c r="X102" s="7"/>
      <c r="Y102" s="9" t="n">
        <f aca="false">IF(P102="","",IF(P102&lt;=$B$4,N(V102)+N(W102),0))</f>
        <v>0</v>
      </c>
    </row>
    <row r="103" customFormat="false" ht="15" hidden="false" customHeight="false" outlineLevel="0" collapsed="false">
      <c r="A103" s="10" t="s">
        <v>31</v>
      </c>
      <c r="B103" s="11" t="str">
        <f aca="false">IFERROR(INDEX(Summary!$B$7:$B$14,MATCH($A103,Summary!$A$7:$A$14,0)),"")</f>
        <v>TX</v>
      </c>
      <c r="C103" s="10" t="s">
        <v>31</v>
      </c>
      <c r="D103" s="10" t="n">
        <v>28</v>
      </c>
      <c r="E103" s="19" t="n">
        <v>45232</v>
      </c>
      <c r="F103" s="10" t="s">
        <v>290</v>
      </c>
      <c r="G103" s="10" t="s">
        <v>291</v>
      </c>
      <c r="H103" s="9" t="n">
        <v>1000</v>
      </c>
      <c r="I103" s="10"/>
      <c r="J103" s="10" t="s">
        <v>84</v>
      </c>
      <c r="K103" s="20" t="n">
        <f aca="false">IF(E103="","",($B$4-E103)/365.25)</f>
        <v>2.92676249144422</v>
      </c>
      <c r="L103" s="10" t="str">
        <f aca="false">IF(K103="","no date",IF(K103&lt;1,"0-1 yrs",IF(K103&lt;2,"1-2 yrs",IF(K103&lt;3,"2-3 yrs",IF(K103&lt;5,"3-5 yrs","5+ yrs")))))</f>
        <v>2-3 yrs</v>
      </c>
      <c r="M103" s="10" t="s">
        <v>85</v>
      </c>
      <c r="N103" s="11" t="n">
        <f aca="false">IFERROR(INDEX('State Rules'!$C$5:$C$11,MATCH($B103,'State Rules'!$A$5:$A$11,0)),"")</f>
        <v>1</v>
      </c>
      <c r="O103" s="19" t="n">
        <f aca="false">IF(OR(N103="",E103=""),"",EDATE(E103,12*N103))</f>
        <v>45598</v>
      </c>
      <c r="P103" s="19" t="n">
        <f aca="false">IF(E103="","",IFERROR(EDATE(E103,12*INDEX('State Rules'!$E$5:$E$11,MATCH($B103,'State Rules'!$A$5:$A$11,0))),""))</f>
        <v>46328</v>
      </c>
      <c r="Q103" s="10" t="str">
        <f aca="false">IF(O103="","",IFERROR(IF(O103&lt;=INDEX('State Rules'!$I$5:$I$11,MATCH($B103,'State Rules'!$A$5:$A$11,0)),"Yes","No"),""))</f>
        <v>Yes</v>
      </c>
      <c r="R103" s="10" t="str">
        <f aca="false">IF(P103="","",IFERROR(IF(P103&lt;=INDEX('State Rules'!$I$5:$I$11,MATCH($B103,'State Rules'!$A$5:$A$11,0)),"Yes","No"),""))</f>
        <v>Yes</v>
      </c>
      <c r="S103" s="7"/>
      <c r="T103" s="7"/>
      <c r="U103" s="21"/>
      <c r="V103" s="21"/>
      <c r="W103" s="21"/>
      <c r="X103" s="7"/>
      <c r="Y103" s="9" t="n">
        <f aca="false">IF(P103="","",IF(P103&lt;=$B$4,N(V103)+N(W103),0))</f>
        <v>0</v>
      </c>
    </row>
    <row r="104" customFormat="false" ht="15" hidden="false" customHeight="false" outlineLevel="0" collapsed="false">
      <c r="A104" s="10" t="s">
        <v>31</v>
      </c>
      <c r="B104" s="11" t="str">
        <f aca="false">IFERROR(INDEX(Summary!$B$7:$B$14,MATCH($A104,Summary!$A$7:$A$14,0)),"")</f>
        <v>TX</v>
      </c>
      <c r="C104" s="10" t="s">
        <v>31</v>
      </c>
      <c r="D104" s="10" t="n">
        <v>29</v>
      </c>
      <c r="E104" s="19" t="n">
        <v>45280</v>
      </c>
      <c r="F104" s="10" t="s">
        <v>292</v>
      </c>
      <c r="G104" s="10" t="s">
        <v>293</v>
      </c>
      <c r="H104" s="9" t="n">
        <v>60</v>
      </c>
      <c r="I104" s="10" t="s">
        <v>294</v>
      </c>
      <c r="J104" s="10" t="s">
        <v>84</v>
      </c>
      <c r="K104" s="20" t="n">
        <f aca="false">IF(E104="","",($B$4-E104)/365.25)</f>
        <v>2.79534565366188</v>
      </c>
      <c r="L104" s="10" t="str">
        <f aca="false">IF(K104="","no date",IF(K104&lt;1,"0-1 yrs",IF(K104&lt;2,"1-2 yrs",IF(K104&lt;3,"2-3 yrs",IF(K104&lt;5,"3-5 yrs","5+ yrs")))))</f>
        <v>2-3 yrs</v>
      </c>
      <c r="M104" s="10" t="s">
        <v>85</v>
      </c>
      <c r="N104" s="11" t="n">
        <f aca="false">IFERROR(INDEX('State Rules'!$C$5:$C$11,MATCH($B104,'State Rules'!$A$5:$A$11,0)),"")</f>
        <v>1</v>
      </c>
      <c r="O104" s="19" t="n">
        <f aca="false">IF(OR(N104="",E104=""),"",EDATE(E104,12*N104))</f>
        <v>45646</v>
      </c>
      <c r="P104" s="19" t="n">
        <f aca="false">IF(E104="","",IFERROR(EDATE(E104,12*INDEX('State Rules'!$E$5:$E$11,MATCH($B104,'State Rules'!$A$5:$A$11,0))),""))</f>
        <v>46376</v>
      </c>
      <c r="Q104" s="10" t="str">
        <f aca="false">IF(O104="","",IFERROR(IF(O104&lt;=INDEX('State Rules'!$I$5:$I$11,MATCH($B104,'State Rules'!$A$5:$A$11,0)),"Yes","No"),""))</f>
        <v>Yes</v>
      </c>
      <c r="R104" s="10" t="str">
        <f aca="false">IF(P104="","",IFERROR(IF(P104&lt;=INDEX('State Rules'!$I$5:$I$11,MATCH($B104,'State Rules'!$A$5:$A$11,0)),"Yes","No"),""))</f>
        <v>Yes</v>
      </c>
      <c r="S104" s="7"/>
      <c r="T104" s="7"/>
      <c r="U104" s="21"/>
      <c r="V104" s="21"/>
      <c r="W104" s="21"/>
      <c r="X104" s="7"/>
      <c r="Y104" s="9" t="n">
        <f aca="false">IF(P104="","",IF(P104&lt;=$B$4,N(V104)+N(W104),0))</f>
        <v>0</v>
      </c>
    </row>
    <row r="105" customFormat="false" ht="15" hidden="false" customHeight="false" outlineLevel="0" collapsed="false">
      <c r="A105" s="10" t="s">
        <v>31</v>
      </c>
      <c r="B105" s="11" t="str">
        <f aca="false">IFERROR(INDEX(Summary!$B$7:$B$14,MATCH($A105,Summary!$A$7:$A$14,0)),"")</f>
        <v>TX</v>
      </c>
      <c r="C105" s="10" t="s">
        <v>31</v>
      </c>
      <c r="D105" s="10" t="n">
        <v>30</v>
      </c>
      <c r="E105" s="19" t="n">
        <v>45343</v>
      </c>
      <c r="F105" s="10" t="s">
        <v>295</v>
      </c>
      <c r="G105" s="10" t="s">
        <v>226</v>
      </c>
      <c r="H105" s="9" t="n">
        <v>644</v>
      </c>
      <c r="I105" s="10"/>
      <c r="J105" s="10" t="s">
        <v>84</v>
      </c>
      <c r="K105" s="20" t="n">
        <f aca="false">IF(E105="","",($B$4-E105)/365.25)</f>
        <v>2.62286105407255</v>
      </c>
      <c r="L105" s="10" t="str">
        <f aca="false">IF(K105="","no date",IF(K105&lt;1,"0-1 yrs",IF(K105&lt;2,"1-2 yrs",IF(K105&lt;3,"2-3 yrs",IF(K105&lt;5,"3-5 yrs","5+ yrs")))))</f>
        <v>2-3 yrs</v>
      </c>
      <c r="M105" s="10" t="s">
        <v>123</v>
      </c>
      <c r="N105" s="11" t="n">
        <f aca="false">IFERROR(INDEX('State Rules'!$C$5:$C$11,MATCH($B105,'State Rules'!$A$5:$A$11,0)),"")</f>
        <v>1</v>
      </c>
      <c r="O105" s="19" t="n">
        <f aca="false">IF(OR(N105="",E105=""),"",EDATE(E105,12*N105))</f>
        <v>45709</v>
      </c>
      <c r="P105" s="19" t="n">
        <f aca="false">IF(E105="","",IFERROR(EDATE(E105,12*INDEX('State Rules'!$E$5:$E$11,MATCH($B105,'State Rules'!$A$5:$A$11,0))),""))</f>
        <v>46439</v>
      </c>
      <c r="Q105" s="10" t="str">
        <f aca="false">IF(O105="","",IFERROR(IF(O105&lt;=INDEX('State Rules'!$I$5:$I$11,MATCH($B105,'State Rules'!$A$5:$A$11,0)),"Yes","No"),""))</f>
        <v>Yes</v>
      </c>
      <c r="R105" s="10" t="str">
        <f aca="false">IF(P105="","",IFERROR(IF(P105&lt;=INDEX('State Rules'!$I$5:$I$11,MATCH($B105,'State Rules'!$A$5:$A$11,0)),"Yes","No"),""))</f>
        <v>Yes</v>
      </c>
      <c r="S105" s="7"/>
      <c r="T105" s="7"/>
      <c r="U105" s="21"/>
      <c r="V105" s="21"/>
      <c r="W105" s="21"/>
      <c r="X105" s="7"/>
      <c r="Y105" s="9" t="n">
        <f aca="false">IF(P105="","",IF(P105&lt;=$B$4,N(V105)+N(W105),0))</f>
        <v>0</v>
      </c>
    </row>
    <row r="106" customFormat="false" ht="15" hidden="false" customHeight="false" outlineLevel="0" collapsed="false">
      <c r="A106" s="10" t="s">
        <v>31</v>
      </c>
      <c r="B106" s="11" t="str">
        <f aca="false">IFERROR(INDEX(Summary!$B$7:$B$14,MATCH($A106,Summary!$A$7:$A$14,0)),"")</f>
        <v>TX</v>
      </c>
      <c r="C106" s="10" t="s">
        <v>31</v>
      </c>
      <c r="D106" s="10" t="n">
        <v>31</v>
      </c>
      <c r="E106" s="19" t="n">
        <v>45345</v>
      </c>
      <c r="F106" s="10" t="s">
        <v>296</v>
      </c>
      <c r="G106" s="10"/>
      <c r="H106" s="9" t="n">
        <v>729.5</v>
      </c>
      <c r="I106" s="10" t="s">
        <v>297</v>
      </c>
      <c r="J106" s="10" t="s">
        <v>84</v>
      </c>
      <c r="K106" s="20" t="n">
        <f aca="false">IF(E106="","",($B$4-E106)/365.25)</f>
        <v>2.61738535249829</v>
      </c>
      <c r="L106" s="10" t="str">
        <f aca="false">IF(K106="","no date",IF(K106&lt;1,"0-1 yrs",IF(K106&lt;2,"1-2 yrs",IF(K106&lt;3,"2-3 yrs",IF(K106&lt;5,"3-5 yrs","5+ yrs")))))</f>
        <v>2-3 yrs</v>
      </c>
      <c r="M106" s="10" t="s">
        <v>85</v>
      </c>
      <c r="N106" s="11" t="n">
        <f aca="false">IFERROR(INDEX('State Rules'!$C$5:$C$11,MATCH($B106,'State Rules'!$A$5:$A$11,0)),"")</f>
        <v>1</v>
      </c>
      <c r="O106" s="19" t="n">
        <f aca="false">IF(OR(N106="",E106=""),"",EDATE(E106,12*N106))</f>
        <v>45711</v>
      </c>
      <c r="P106" s="19" t="n">
        <f aca="false">IF(E106="","",IFERROR(EDATE(E106,12*INDEX('State Rules'!$E$5:$E$11,MATCH($B106,'State Rules'!$A$5:$A$11,0))),""))</f>
        <v>46441</v>
      </c>
      <c r="Q106" s="10" t="str">
        <f aca="false">IF(O106="","",IFERROR(IF(O106&lt;=INDEX('State Rules'!$I$5:$I$11,MATCH($B106,'State Rules'!$A$5:$A$11,0)),"Yes","No"),""))</f>
        <v>Yes</v>
      </c>
      <c r="R106" s="10" t="str">
        <f aca="false">IF(P106="","",IFERROR(IF(P106&lt;=INDEX('State Rules'!$I$5:$I$11,MATCH($B106,'State Rules'!$A$5:$A$11,0)),"Yes","No"),""))</f>
        <v>Yes</v>
      </c>
      <c r="S106" s="7"/>
      <c r="T106" s="7"/>
      <c r="U106" s="21"/>
      <c r="V106" s="21"/>
      <c r="W106" s="21"/>
      <c r="X106" s="7"/>
      <c r="Y106" s="9" t="n">
        <f aca="false">IF(P106="","",IF(P106&lt;=$B$4,N(V106)+N(W106),0))</f>
        <v>0</v>
      </c>
    </row>
    <row r="107" customFormat="false" ht="15" hidden="false" customHeight="false" outlineLevel="0" collapsed="false">
      <c r="A107" s="10" t="s">
        <v>31</v>
      </c>
      <c r="B107" s="11" t="str">
        <f aca="false">IFERROR(INDEX(Summary!$B$7:$B$14,MATCH($A107,Summary!$A$7:$A$14,0)),"")</f>
        <v>TX</v>
      </c>
      <c r="C107" s="10" t="s">
        <v>31</v>
      </c>
      <c r="D107" s="10" t="n">
        <v>32</v>
      </c>
      <c r="E107" s="19" t="n">
        <v>45370</v>
      </c>
      <c r="F107" s="10" t="s">
        <v>298</v>
      </c>
      <c r="G107" s="10" t="s">
        <v>210</v>
      </c>
      <c r="H107" s="9" t="n">
        <v>1000</v>
      </c>
      <c r="I107" s="10"/>
      <c r="J107" s="10" t="s">
        <v>84</v>
      </c>
      <c r="K107" s="20" t="n">
        <f aca="false">IF(E107="","",($B$4-E107)/365.25)</f>
        <v>2.54893908281999</v>
      </c>
      <c r="L107" s="10" t="str">
        <f aca="false">IF(K107="","no date",IF(K107&lt;1,"0-1 yrs",IF(K107&lt;2,"1-2 yrs",IF(K107&lt;3,"2-3 yrs",IF(K107&lt;5,"3-5 yrs","5+ yrs")))))</f>
        <v>2-3 yrs</v>
      </c>
      <c r="M107" s="10" t="s">
        <v>85</v>
      </c>
      <c r="N107" s="11" t="n">
        <f aca="false">IFERROR(INDEX('State Rules'!$C$5:$C$11,MATCH($B107,'State Rules'!$A$5:$A$11,0)),"")</f>
        <v>1</v>
      </c>
      <c r="O107" s="19" t="n">
        <f aca="false">IF(OR(N107="",E107=""),"",EDATE(E107,12*N107))</f>
        <v>45735</v>
      </c>
      <c r="P107" s="19" t="n">
        <f aca="false">IF(E107="","",IFERROR(EDATE(E107,12*INDEX('State Rules'!$E$5:$E$11,MATCH($B107,'State Rules'!$A$5:$A$11,0))),""))</f>
        <v>46465</v>
      </c>
      <c r="Q107" s="10" t="str">
        <f aca="false">IF(O107="","",IFERROR(IF(O107&lt;=INDEX('State Rules'!$I$5:$I$11,MATCH($B107,'State Rules'!$A$5:$A$11,0)),"Yes","No"),""))</f>
        <v>Yes</v>
      </c>
      <c r="R107" s="10" t="str">
        <f aca="false">IF(P107="","",IFERROR(IF(P107&lt;=INDEX('State Rules'!$I$5:$I$11,MATCH($B107,'State Rules'!$A$5:$A$11,0)),"Yes","No"),""))</f>
        <v>No</v>
      </c>
      <c r="S107" s="7"/>
      <c r="T107" s="7"/>
      <c r="U107" s="21"/>
      <c r="V107" s="21"/>
      <c r="W107" s="21"/>
      <c r="X107" s="7"/>
      <c r="Y107" s="9" t="n">
        <f aca="false">IF(P107="","",IF(P107&lt;=$B$4,N(V107)+N(W107),0))</f>
        <v>0</v>
      </c>
    </row>
    <row r="108" customFormat="false" ht="15" hidden="false" customHeight="false" outlineLevel="0" collapsed="false">
      <c r="A108" s="10" t="s">
        <v>31</v>
      </c>
      <c r="B108" s="11" t="str">
        <f aca="false">IFERROR(INDEX(Summary!$B$7:$B$14,MATCH($A108,Summary!$A$7:$A$14,0)),"")</f>
        <v>TX</v>
      </c>
      <c r="C108" s="10" t="s">
        <v>31</v>
      </c>
      <c r="D108" s="10" t="n">
        <v>33</v>
      </c>
      <c r="E108" s="19" t="n">
        <v>45388</v>
      </c>
      <c r="F108" s="10" t="s">
        <v>299</v>
      </c>
      <c r="G108" s="10" t="s">
        <v>300</v>
      </c>
      <c r="H108" s="9" t="n">
        <v>250</v>
      </c>
      <c r="I108" s="10"/>
      <c r="J108" s="10" t="s">
        <v>84</v>
      </c>
      <c r="K108" s="20" t="n">
        <f aca="false">IF(E108="","",($B$4-E108)/365.25)</f>
        <v>2.49965776865161</v>
      </c>
      <c r="L108" s="10" t="str">
        <f aca="false">IF(K108="","no date",IF(K108&lt;1,"0-1 yrs",IF(K108&lt;2,"1-2 yrs",IF(K108&lt;3,"2-3 yrs",IF(K108&lt;5,"3-5 yrs","5+ yrs")))))</f>
        <v>2-3 yrs</v>
      </c>
      <c r="M108" s="10" t="s">
        <v>85</v>
      </c>
      <c r="N108" s="11" t="n">
        <f aca="false">IFERROR(INDEX('State Rules'!$C$5:$C$11,MATCH($B108,'State Rules'!$A$5:$A$11,0)),"")</f>
        <v>1</v>
      </c>
      <c r="O108" s="19" t="n">
        <f aca="false">IF(OR(N108="",E108=""),"",EDATE(E108,12*N108))</f>
        <v>45753</v>
      </c>
      <c r="P108" s="19" t="n">
        <f aca="false">IF(E108="","",IFERROR(EDATE(E108,12*INDEX('State Rules'!$E$5:$E$11,MATCH($B108,'State Rules'!$A$5:$A$11,0))),""))</f>
        <v>46483</v>
      </c>
      <c r="Q108" s="10" t="str">
        <f aca="false">IF(O108="","",IFERROR(IF(O108&lt;=INDEX('State Rules'!$I$5:$I$11,MATCH($B108,'State Rules'!$A$5:$A$11,0)),"Yes","No"),""))</f>
        <v>Yes</v>
      </c>
      <c r="R108" s="10" t="str">
        <f aca="false">IF(P108="","",IFERROR(IF(P108&lt;=INDEX('State Rules'!$I$5:$I$11,MATCH($B108,'State Rules'!$A$5:$A$11,0)),"Yes","No"),""))</f>
        <v>No</v>
      </c>
      <c r="S108" s="7"/>
      <c r="T108" s="7"/>
      <c r="U108" s="21"/>
      <c r="V108" s="21"/>
      <c r="W108" s="21"/>
      <c r="X108" s="7"/>
      <c r="Y108" s="9" t="n">
        <f aca="false">IF(P108="","",IF(P108&lt;=$B$4,N(V108)+N(W108),0))</f>
        <v>0</v>
      </c>
    </row>
    <row r="109" customFormat="false" ht="15" hidden="false" customHeight="false" outlineLevel="0" collapsed="false">
      <c r="A109" s="10" t="s">
        <v>31</v>
      </c>
      <c r="B109" s="11" t="str">
        <f aca="false">IFERROR(INDEX(Summary!$B$7:$B$14,MATCH($A109,Summary!$A$7:$A$14,0)),"")</f>
        <v>TX</v>
      </c>
      <c r="C109" s="10" t="s">
        <v>31</v>
      </c>
      <c r="D109" s="10" t="n">
        <v>34</v>
      </c>
      <c r="E109" s="19" t="n">
        <v>45418</v>
      </c>
      <c r="F109" s="10" t="s">
        <v>301</v>
      </c>
      <c r="G109" s="10" t="s">
        <v>293</v>
      </c>
      <c r="H109" s="9" t="n">
        <v>60</v>
      </c>
      <c r="I109" s="10" t="s">
        <v>294</v>
      </c>
      <c r="J109" s="10" t="s">
        <v>84</v>
      </c>
      <c r="K109" s="20" t="n">
        <f aca="false">IF(E109="","",($B$4-E109)/365.25)</f>
        <v>2.41752224503765</v>
      </c>
      <c r="L109" s="10" t="str">
        <f aca="false">IF(K109="","no date",IF(K109&lt;1,"0-1 yrs",IF(K109&lt;2,"1-2 yrs",IF(K109&lt;3,"2-3 yrs",IF(K109&lt;5,"3-5 yrs","5+ yrs")))))</f>
        <v>2-3 yrs</v>
      </c>
      <c r="M109" s="10" t="s">
        <v>85</v>
      </c>
      <c r="N109" s="11" t="n">
        <f aca="false">IFERROR(INDEX('State Rules'!$C$5:$C$11,MATCH($B109,'State Rules'!$A$5:$A$11,0)),"")</f>
        <v>1</v>
      </c>
      <c r="O109" s="19" t="n">
        <f aca="false">IF(OR(N109="",E109=""),"",EDATE(E109,12*N109))</f>
        <v>45783</v>
      </c>
      <c r="P109" s="19" t="n">
        <f aca="false">IF(E109="","",IFERROR(EDATE(E109,12*INDEX('State Rules'!$E$5:$E$11,MATCH($B109,'State Rules'!$A$5:$A$11,0))),""))</f>
        <v>46513</v>
      </c>
      <c r="Q109" s="10" t="str">
        <f aca="false">IF(O109="","",IFERROR(IF(O109&lt;=INDEX('State Rules'!$I$5:$I$11,MATCH($B109,'State Rules'!$A$5:$A$11,0)),"Yes","No"),""))</f>
        <v>Yes</v>
      </c>
      <c r="R109" s="10" t="str">
        <f aca="false">IF(P109="","",IFERROR(IF(P109&lt;=INDEX('State Rules'!$I$5:$I$11,MATCH($B109,'State Rules'!$A$5:$A$11,0)),"Yes","No"),""))</f>
        <v>No</v>
      </c>
      <c r="S109" s="7"/>
      <c r="T109" s="7"/>
      <c r="U109" s="21"/>
      <c r="V109" s="21"/>
      <c r="W109" s="21"/>
      <c r="X109" s="7"/>
      <c r="Y109" s="9" t="n">
        <f aca="false">IF(P109="","",IF(P109&lt;=$B$4,N(V109)+N(W109),0))</f>
        <v>0</v>
      </c>
    </row>
    <row r="110" customFormat="false" ht="15" hidden="false" customHeight="false" outlineLevel="0" collapsed="false">
      <c r="A110" s="10" t="s">
        <v>31</v>
      </c>
      <c r="B110" s="11" t="str">
        <f aca="false">IFERROR(INDEX(Summary!$B$7:$B$14,MATCH($A110,Summary!$A$7:$A$14,0)),"")</f>
        <v>TX</v>
      </c>
      <c r="C110" s="10" t="s">
        <v>31</v>
      </c>
      <c r="D110" s="10" t="n">
        <v>35</v>
      </c>
      <c r="E110" s="19" t="n">
        <v>45454</v>
      </c>
      <c r="F110" s="10" t="s">
        <v>302</v>
      </c>
      <c r="G110" s="10" t="s">
        <v>226</v>
      </c>
      <c r="H110" s="9" t="n">
        <v>644</v>
      </c>
      <c r="I110" s="10"/>
      <c r="J110" s="10" t="s">
        <v>84</v>
      </c>
      <c r="K110" s="20" t="n">
        <f aca="false">IF(E110="","",($B$4-E110)/365.25)</f>
        <v>2.31895961670089</v>
      </c>
      <c r="L110" s="10" t="str">
        <f aca="false">IF(K110="","no date",IF(K110&lt;1,"0-1 yrs",IF(K110&lt;2,"1-2 yrs",IF(K110&lt;3,"2-3 yrs",IF(K110&lt;5,"3-5 yrs","5+ yrs")))))</f>
        <v>2-3 yrs</v>
      </c>
      <c r="M110" s="10" t="s">
        <v>123</v>
      </c>
      <c r="N110" s="11" t="n">
        <f aca="false">IFERROR(INDEX('State Rules'!$C$5:$C$11,MATCH($B110,'State Rules'!$A$5:$A$11,0)),"")</f>
        <v>1</v>
      </c>
      <c r="O110" s="19" t="n">
        <f aca="false">IF(OR(N110="",E110=""),"",EDATE(E110,12*N110))</f>
        <v>45819</v>
      </c>
      <c r="P110" s="19" t="n">
        <f aca="false">IF(E110="","",IFERROR(EDATE(E110,12*INDEX('State Rules'!$E$5:$E$11,MATCH($B110,'State Rules'!$A$5:$A$11,0))),""))</f>
        <v>46549</v>
      </c>
      <c r="Q110" s="10" t="str">
        <f aca="false">IF(O110="","",IFERROR(IF(O110&lt;=INDEX('State Rules'!$I$5:$I$11,MATCH($B110,'State Rules'!$A$5:$A$11,0)),"Yes","No"),""))</f>
        <v>Yes</v>
      </c>
      <c r="R110" s="10" t="str">
        <f aca="false">IF(P110="","",IFERROR(IF(P110&lt;=INDEX('State Rules'!$I$5:$I$11,MATCH($B110,'State Rules'!$A$5:$A$11,0)),"Yes","No"),""))</f>
        <v>No</v>
      </c>
      <c r="S110" s="7"/>
      <c r="T110" s="7"/>
      <c r="U110" s="21"/>
      <c r="V110" s="21"/>
      <c r="W110" s="21"/>
      <c r="X110" s="7"/>
      <c r="Y110" s="9" t="n">
        <f aca="false">IF(P110="","",IF(P110&lt;=$B$4,N(V110)+N(W110),0))</f>
        <v>0</v>
      </c>
    </row>
    <row r="111" customFormat="false" ht="15" hidden="false" customHeight="false" outlineLevel="0" collapsed="false">
      <c r="A111" s="10" t="s">
        <v>31</v>
      </c>
      <c r="B111" s="11" t="str">
        <f aca="false">IFERROR(INDEX(Summary!$B$7:$B$14,MATCH($A111,Summary!$A$7:$A$14,0)),"")</f>
        <v>TX</v>
      </c>
      <c r="C111" s="10" t="s">
        <v>31</v>
      </c>
      <c r="D111" s="10" t="n">
        <v>36</v>
      </c>
      <c r="E111" s="19" t="n">
        <v>45469</v>
      </c>
      <c r="F111" s="10" t="s">
        <v>303</v>
      </c>
      <c r="G111" s="10" t="s">
        <v>226</v>
      </c>
      <c r="H111" s="9" t="n">
        <v>644</v>
      </c>
      <c r="I111" s="10"/>
      <c r="J111" s="10" t="s">
        <v>84</v>
      </c>
      <c r="K111" s="20" t="n">
        <f aca="false">IF(E111="","",($B$4-E111)/365.25)</f>
        <v>2.27789185489391</v>
      </c>
      <c r="L111" s="10" t="str">
        <f aca="false">IF(K111="","no date",IF(K111&lt;1,"0-1 yrs",IF(K111&lt;2,"1-2 yrs",IF(K111&lt;3,"2-3 yrs",IF(K111&lt;5,"3-5 yrs","5+ yrs")))))</f>
        <v>2-3 yrs</v>
      </c>
      <c r="M111" s="10" t="s">
        <v>123</v>
      </c>
      <c r="N111" s="11" t="n">
        <f aca="false">IFERROR(INDEX('State Rules'!$C$5:$C$11,MATCH($B111,'State Rules'!$A$5:$A$11,0)),"")</f>
        <v>1</v>
      </c>
      <c r="O111" s="19" t="n">
        <f aca="false">IF(OR(N111="",E111=""),"",EDATE(E111,12*N111))</f>
        <v>45834</v>
      </c>
      <c r="P111" s="19" t="n">
        <f aca="false">IF(E111="","",IFERROR(EDATE(E111,12*INDEX('State Rules'!$E$5:$E$11,MATCH($B111,'State Rules'!$A$5:$A$11,0))),""))</f>
        <v>46564</v>
      </c>
      <c r="Q111" s="10" t="str">
        <f aca="false">IF(O111="","",IFERROR(IF(O111&lt;=INDEX('State Rules'!$I$5:$I$11,MATCH($B111,'State Rules'!$A$5:$A$11,0)),"Yes","No"),""))</f>
        <v>Yes</v>
      </c>
      <c r="R111" s="10" t="str">
        <f aca="false">IF(P111="","",IFERROR(IF(P111&lt;=INDEX('State Rules'!$I$5:$I$11,MATCH($B111,'State Rules'!$A$5:$A$11,0)),"Yes","No"),""))</f>
        <v>No</v>
      </c>
      <c r="S111" s="7"/>
      <c r="T111" s="7"/>
      <c r="U111" s="21"/>
      <c r="V111" s="21"/>
      <c r="W111" s="21"/>
      <c r="X111" s="7"/>
      <c r="Y111" s="9" t="n">
        <f aca="false">IF(P111="","",IF(P111&lt;=$B$4,N(V111)+N(W111),0))</f>
        <v>0</v>
      </c>
    </row>
    <row r="112" customFormat="false" ht="15" hidden="false" customHeight="false" outlineLevel="0" collapsed="false">
      <c r="A112" s="10" t="s">
        <v>31</v>
      </c>
      <c r="B112" s="11" t="str">
        <f aca="false">IFERROR(INDEX(Summary!$B$7:$B$14,MATCH($A112,Summary!$A$7:$A$14,0)),"")</f>
        <v>TX</v>
      </c>
      <c r="C112" s="10" t="s">
        <v>31</v>
      </c>
      <c r="D112" s="10" t="n">
        <v>37</v>
      </c>
      <c r="E112" s="19" t="n">
        <v>45491</v>
      </c>
      <c r="F112" s="10" t="s">
        <v>304</v>
      </c>
      <c r="G112" s="10" t="s">
        <v>305</v>
      </c>
      <c r="H112" s="9" t="n">
        <v>644</v>
      </c>
      <c r="I112" s="10"/>
      <c r="J112" s="10" t="s">
        <v>84</v>
      </c>
      <c r="K112" s="20" t="n">
        <f aca="false">IF(E112="","",($B$4-E112)/365.25)</f>
        <v>2.217659137577</v>
      </c>
      <c r="L112" s="10" t="str">
        <f aca="false">IF(K112="","no date",IF(K112&lt;1,"0-1 yrs",IF(K112&lt;2,"1-2 yrs",IF(K112&lt;3,"2-3 yrs",IF(K112&lt;5,"3-5 yrs","5+ yrs")))))</f>
        <v>2-3 yrs</v>
      </c>
      <c r="M112" s="10" t="s">
        <v>123</v>
      </c>
      <c r="N112" s="11" t="n">
        <f aca="false">IFERROR(INDEX('State Rules'!$C$5:$C$11,MATCH($B112,'State Rules'!$A$5:$A$11,0)),"")</f>
        <v>1</v>
      </c>
      <c r="O112" s="19" t="n">
        <f aca="false">IF(OR(N112="",E112=""),"",EDATE(E112,12*N112))</f>
        <v>45856</v>
      </c>
      <c r="P112" s="19" t="n">
        <f aca="false">IF(E112="","",IFERROR(EDATE(E112,12*INDEX('State Rules'!$E$5:$E$11,MATCH($B112,'State Rules'!$A$5:$A$11,0))),""))</f>
        <v>46586</v>
      </c>
      <c r="Q112" s="10" t="str">
        <f aca="false">IF(O112="","",IFERROR(IF(O112&lt;=INDEX('State Rules'!$I$5:$I$11,MATCH($B112,'State Rules'!$A$5:$A$11,0)),"Yes","No"),""))</f>
        <v>Yes</v>
      </c>
      <c r="R112" s="10" t="str">
        <f aca="false">IF(P112="","",IFERROR(IF(P112&lt;=INDEX('State Rules'!$I$5:$I$11,MATCH($B112,'State Rules'!$A$5:$A$11,0)),"Yes","No"),""))</f>
        <v>No</v>
      </c>
      <c r="S112" s="7"/>
      <c r="T112" s="7"/>
      <c r="U112" s="21"/>
      <c r="V112" s="21"/>
      <c r="W112" s="21"/>
      <c r="X112" s="7"/>
      <c r="Y112" s="9" t="n">
        <f aca="false">IF(P112="","",IF(P112&lt;=$B$4,N(V112)+N(W112),0))</f>
        <v>0</v>
      </c>
    </row>
    <row r="113" customFormat="false" ht="15" hidden="false" customHeight="false" outlineLevel="0" collapsed="false">
      <c r="A113" s="10" t="s">
        <v>31</v>
      </c>
      <c r="B113" s="11" t="str">
        <f aca="false">IFERROR(INDEX(Summary!$B$7:$B$14,MATCH($A113,Summary!$A$7:$A$14,0)),"")</f>
        <v>TX</v>
      </c>
      <c r="C113" s="10" t="s">
        <v>31</v>
      </c>
      <c r="D113" s="10" t="n">
        <v>38</v>
      </c>
      <c r="E113" s="19" t="n">
        <v>45495</v>
      </c>
      <c r="F113" s="10" t="s">
        <v>306</v>
      </c>
      <c r="G113" s="10" t="s">
        <v>305</v>
      </c>
      <c r="H113" s="9" t="n">
        <v>644</v>
      </c>
      <c r="I113" s="10"/>
      <c r="J113" s="10" t="s">
        <v>84</v>
      </c>
      <c r="K113" s="20" t="n">
        <f aca="false">IF(E113="","",($B$4-E113)/365.25)</f>
        <v>2.20670773442847</v>
      </c>
      <c r="L113" s="10" t="str">
        <f aca="false">IF(K113="","no date",IF(K113&lt;1,"0-1 yrs",IF(K113&lt;2,"1-2 yrs",IF(K113&lt;3,"2-3 yrs",IF(K113&lt;5,"3-5 yrs","5+ yrs")))))</f>
        <v>2-3 yrs</v>
      </c>
      <c r="M113" s="10" t="s">
        <v>123</v>
      </c>
      <c r="N113" s="11" t="n">
        <f aca="false">IFERROR(INDEX('State Rules'!$C$5:$C$11,MATCH($B113,'State Rules'!$A$5:$A$11,0)),"")</f>
        <v>1</v>
      </c>
      <c r="O113" s="19" t="n">
        <f aca="false">IF(OR(N113="",E113=""),"",EDATE(E113,12*N113))</f>
        <v>45860</v>
      </c>
      <c r="P113" s="19" t="n">
        <f aca="false">IF(E113="","",IFERROR(EDATE(E113,12*INDEX('State Rules'!$E$5:$E$11,MATCH($B113,'State Rules'!$A$5:$A$11,0))),""))</f>
        <v>46590</v>
      </c>
      <c r="Q113" s="10" t="str">
        <f aca="false">IF(O113="","",IFERROR(IF(O113&lt;=INDEX('State Rules'!$I$5:$I$11,MATCH($B113,'State Rules'!$A$5:$A$11,0)),"Yes","No"),""))</f>
        <v>Yes</v>
      </c>
      <c r="R113" s="10" t="str">
        <f aca="false">IF(P113="","",IFERROR(IF(P113&lt;=INDEX('State Rules'!$I$5:$I$11,MATCH($B113,'State Rules'!$A$5:$A$11,0)),"Yes","No"),""))</f>
        <v>No</v>
      </c>
      <c r="S113" s="7"/>
      <c r="T113" s="7"/>
      <c r="U113" s="21"/>
      <c r="V113" s="21"/>
      <c r="W113" s="21"/>
      <c r="X113" s="7"/>
      <c r="Y113" s="9" t="n">
        <f aca="false">IF(P113="","",IF(P113&lt;=$B$4,N(V113)+N(W113),0))</f>
        <v>0</v>
      </c>
    </row>
    <row r="114" customFormat="false" ht="15" hidden="false" customHeight="false" outlineLevel="0" collapsed="false">
      <c r="A114" s="10" t="s">
        <v>31</v>
      </c>
      <c r="B114" s="11" t="str">
        <f aca="false">IFERROR(INDEX(Summary!$B$7:$B$14,MATCH($A114,Summary!$A$7:$A$14,0)),"")</f>
        <v>TX</v>
      </c>
      <c r="C114" s="10" t="s">
        <v>31</v>
      </c>
      <c r="D114" s="10" t="n">
        <v>39</v>
      </c>
      <c r="E114" s="19" t="n">
        <v>45502</v>
      </c>
      <c r="F114" s="10" t="s">
        <v>307</v>
      </c>
      <c r="G114" s="10" t="s">
        <v>308</v>
      </c>
      <c r="H114" s="9" t="n">
        <v>2819.94</v>
      </c>
      <c r="I114" s="10"/>
      <c r="J114" s="10" t="s">
        <v>84</v>
      </c>
      <c r="K114" s="20" t="n">
        <f aca="false">IF(E114="","",($B$4-E114)/365.25)</f>
        <v>2.18754277891855</v>
      </c>
      <c r="L114" s="10" t="str">
        <f aca="false">IF(K114="","no date",IF(K114&lt;1,"0-1 yrs",IF(K114&lt;2,"1-2 yrs",IF(K114&lt;3,"2-3 yrs",IF(K114&lt;5,"3-5 yrs","5+ yrs")))))</f>
        <v>2-3 yrs</v>
      </c>
      <c r="M114" s="10" t="s">
        <v>85</v>
      </c>
      <c r="N114" s="11" t="n">
        <f aca="false">IFERROR(INDEX('State Rules'!$C$5:$C$11,MATCH($B114,'State Rules'!$A$5:$A$11,0)),"")</f>
        <v>1</v>
      </c>
      <c r="O114" s="19" t="n">
        <f aca="false">IF(OR(N114="",E114=""),"",EDATE(E114,12*N114))</f>
        <v>45867</v>
      </c>
      <c r="P114" s="19" t="n">
        <f aca="false">IF(E114="","",IFERROR(EDATE(E114,12*INDEX('State Rules'!$E$5:$E$11,MATCH($B114,'State Rules'!$A$5:$A$11,0))),""))</f>
        <v>46597</v>
      </c>
      <c r="Q114" s="10" t="str">
        <f aca="false">IF(O114="","",IFERROR(IF(O114&lt;=INDEX('State Rules'!$I$5:$I$11,MATCH($B114,'State Rules'!$A$5:$A$11,0)),"Yes","No"),""))</f>
        <v>Yes</v>
      </c>
      <c r="R114" s="10" t="str">
        <f aca="false">IF(P114="","",IFERROR(IF(P114&lt;=INDEX('State Rules'!$I$5:$I$11,MATCH($B114,'State Rules'!$A$5:$A$11,0)),"Yes","No"),""))</f>
        <v>No</v>
      </c>
      <c r="S114" s="7"/>
      <c r="T114" s="7"/>
      <c r="U114" s="21"/>
      <c r="V114" s="21"/>
      <c r="W114" s="21"/>
      <c r="X114" s="7"/>
      <c r="Y114" s="9" t="n">
        <f aca="false">IF(P114="","",IF(P114&lt;=$B$4,N(V114)+N(W114),0))</f>
        <v>0</v>
      </c>
    </row>
    <row r="115" customFormat="false" ht="15" hidden="false" customHeight="false" outlineLevel="0" collapsed="false">
      <c r="A115" s="10" t="s">
        <v>31</v>
      </c>
      <c r="B115" s="11" t="str">
        <f aca="false">IFERROR(INDEX(Summary!$B$7:$B$14,MATCH($A115,Summary!$A$7:$A$14,0)),"")</f>
        <v>TX</v>
      </c>
      <c r="C115" s="10" t="s">
        <v>31</v>
      </c>
      <c r="D115" s="10" t="n">
        <v>40</v>
      </c>
      <c r="E115" s="19" t="n">
        <v>45506</v>
      </c>
      <c r="F115" s="10" t="s">
        <v>309</v>
      </c>
      <c r="G115" s="10" t="s">
        <v>310</v>
      </c>
      <c r="H115" s="9" t="n">
        <v>500</v>
      </c>
      <c r="I115" s="10" t="s">
        <v>310</v>
      </c>
      <c r="J115" s="10" t="s">
        <v>84</v>
      </c>
      <c r="K115" s="20" t="n">
        <f aca="false">IF(E115="","",($B$4-E115)/365.25)</f>
        <v>2.17659137577002</v>
      </c>
      <c r="L115" s="10" t="str">
        <f aca="false">IF(K115="","no date",IF(K115&lt;1,"0-1 yrs",IF(K115&lt;2,"1-2 yrs",IF(K115&lt;3,"2-3 yrs",IF(K115&lt;5,"3-5 yrs","5+ yrs")))))</f>
        <v>2-3 yrs</v>
      </c>
      <c r="M115" s="10" t="s">
        <v>85</v>
      </c>
      <c r="N115" s="11" t="n">
        <f aca="false">IFERROR(INDEX('State Rules'!$C$5:$C$11,MATCH($B115,'State Rules'!$A$5:$A$11,0)),"")</f>
        <v>1</v>
      </c>
      <c r="O115" s="19" t="n">
        <f aca="false">IF(OR(N115="",E115=""),"",EDATE(E115,12*N115))</f>
        <v>45871</v>
      </c>
      <c r="P115" s="19" t="n">
        <f aca="false">IF(E115="","",IFERROR(EDATE(E115,12*INDEX('State Rules'!$E$5:$E$11,MATCH($B115,'State Rules'!$A$5:$A$11,0))),""))</f>
        <v>46601</v>
      </c>
      <c r="Q115" s="10" t="str">
        <f aca="false">IF(O115="","",IFERROR(IF(O115&lt;=INDEX('State Rules'!$I$5:$I$11,MATCH($B115,'State Rules'!$A$5:$A$11,0)),"Yes","No"),""))</f>
        <v>Yes</v>
      </c>
      <c r="R115" s="10" t="str">
        <f aca="false">IF(P115="","",IFERROR(IF(P115&lt;=INDEX('State Rules'!$I$5:$I$11,MATCH($B115,'State Rules'!$A$5:$A$11,0)),"Yes","No"),""))</f>
        <v>No</v>
      </c>
      <c r="S115" s="7"/>
      <c r="T115" s="7"/>
      <c r="U115" s="21"/>
      <c r="V115" s="21"/>
      <c r="W115" s="21"/>
      <c r="X115" s="7"/>
      <c r="Y115" s="9" t="n">
        <f aca="false">IF(P115="","",IF(P115&lt;=$B$4,N(V115)+N(W115),0))</f>
        <v>0</v>
      </c>
    </row>
    <row r="116" customFormat="false" ht="15" hidden="false" customHeight="false" outlineLevel="0" collapsed="false">
      <c r="A116" s="10" t="s">
        <v>31</v>
      </c>
      <c r="B116" s="11" t="str">
        <f aca="false">IFERROR(INDEX(Summary!$B$7:$B$14,MATCH($A116,Summary!$A$7:$A$14,0)),"")</f>
        <v>TX</v>
      </c>
      <c r="C116" s="10" t="s">
        <v>31</v>
      </c>
      <c r="D116" s="10" t="n">
        <v>41</v>
      </c>
      <c r="E116" s="19" t="n">
        <v>45518</v>
      </c>
      <c r="F116" s="10" t="s">
        <v>311</v>
      </c>
      <c r="G116" s="10"/>
      <c r="H116" s="9" t="n">
        <v>1100</v>
      </c>
      <c r="I116" s="10" t="s">
        <v>312</v>
      </c>
      <c r="J116" s="10" t="s">
        <v>84</v>
      </c>
      <c r="K116" s="20" t="n">
        <f aca="false">IF(E116="","",($B$4-E116)/365.25)</f>
        <v>2.14373716632444</v>
      </c>
      <c r="L116" s="10" t="str">
        <f aca="false">IF(K116="","no date",IF(K116&lt;1,"0-1 yrs",IF(K116&lt;2,"1-2 yrs",IF(K116&lt;3,"2-3 yrs",IF(K116&lt;5,"3-5 yrs","5+ yrs")))))</f>
        <v>2-3 yrs</v>
      </c>
      <c r="M116" s="10" t="s">
        <v>85</v>
      </c>
      <c r="N116" s="11" t="n">
        <f aca="false">IFERROR(INDEX('State Rules'!$C$5:$C$11,MATCH($B116,'State Rules'!$A$5:$A$11,0)),"")</f>
        <v>1</v>
      </c>
      <c r="O116" s="19" t="n">
        <f aca="false">IF(OR(N116="",E116=""),"",EDATE(E116,12*N116))</f>
        <v>45883</v>
      </c>
      <c r="P116" s="19" t="n">
        <f aca="false">IF(E116="","",IFERROR(EDATE(E116,12*INDEX('State Rules'!$E$5:$E$11,MATCH($B116,'State Rules'!$A$5:$A$11,0))),""))</f>
        <v>46613</v>
      </c>
      <c r="Q116" s="10" t="str">
        <f aca="false">IF(O116="","",IFERROR(IF(O116&lt;=INDEX('State Rules'!$I$5:$I$11,MATCH($B116,'State Rules'!$A$5:$A$11,0)),"Yes","No"),""))</f>
        <v>Yes</v>
      </c>
      <c r="R116" s="10" t="str">
        <f aca="false">IF(P116="","",IFERROR(IF(P116&lt;=INDEX('State Rules'!$I$5:$I$11,MATCH($B116,'State Rules'!$A$5:$A$11,0)),"Yes","No"),""))</f>
        <v>No</v>
      </c>
      <c r="S116" s="7"/>
      <c r="T116" s="7"/>
      <c r="U116" s="21"/>
      <c r="V116" s="21"/>
      <c r="W116" s="21"/>
      <c r="X116" s="7"/>
      <c r="Y116" s="9" t="n">
        <f aca="false">IF(P116="","",IF(P116&lt;=$B$4,N(V116)+N(W116),0))</f>
        <v>0</v>
      </c>
    </row>
    <row r="117" customFormat="false" ht="15" hidden="false" customHeight="false" outlineLevel="0" collapsed="false">
      <c r="A117" s="10" t="s">
        <v>31</v>
      </c>
      <c r="B117" s="11" t="str">
        <f aca="false">IFERROR(INDEX(Summary!$B$7:$B$14,MATCH($A117,Summary!$A$7:$A$14,0)),"")</f>
        <v>TX</v>
      </c>
      <c r="C117" s="10" t="s">
        <v>31</v>
      </c>
      <c r="D117" s="10" t="n">
        <v>42</v>
      </c>
      <c r="E117" s="19" t="n">
        <v>45524</v>
      </c>
      <c r="F117" s="10" t="s">
        <v>313</v>
      </c>
      <c r="G117" s="10"/>
      <c r="H117" s="9" t="n">
        <v>1074.5</v>
      </c>
      <c r="I117" s="10" t="s">
        <v>314</v>
      </c>
      <c r="J117" s="10" t="s">
        <v>84</v>
      </c>
      <c r="K117" s="20" t="n">
        <f aca="false">IF(E117="","",($B$4-E117)/365.25)</f>
        <v>2.12731006160164</v>
      </c>
      <c r="L117" s="10" t="str">
        <f aca="false">IF(K117="","no date",IF(K117&lt;1,"0-1 yrs",IF(K117&lt;2,"1-2 yrs",IF(K117&lt;3,"2-3 yrs",IF(K117&lt;5,"3-5 yrs","5+ yrs")))))</f>
        <v>2-3 yrs</v>
      </c>
      <c r="M117" s="10" t="s">
        <v>85</v>
      </c>
      <c r="N117" s="11" t="n">
        <f aca="false">IFERROR(INDEX('State Rules'!$C$5:$C$11,MATCH($B117,'State Rules'!$A$5:$A$11,0)),"")</f>
        <v>1</v>
      </c>
      <c r="O117" s="19" t="n">
        <f aca="false">IF(OR(N117="",E117=""),"",EDATE(E117,12*N117))</f>
        <v>45889</v>
      </c>
      <c r="P117" s="19" t="n">
        <f aca="false">IF(E117="","",IFERROR(EDATE(E117,12*INDEX('State Rules'!$E$5:$E$11,MATCH($B117,'State Rules'!$A$5:$A$11,0))),""))</f>
        <v>46619</v>
      </c>
      <c r="Q117" s="10" t="str">
        <f aca="false">IF(O117="","",IFERROR(IF(O117&lt;=INDEX('State Rules'!$I$5:$I$11,MATCH($B117,'State Rules'!$A$5:$A$11,0)),"Yes","No"),""))</f>
        <v>Yes</v>
      </c>
      <c r="R117" s="10" t="str">
        <f aca="false">IF(P117="","",IFERROR(IF(P117&lt;=INDEX('State Rules'!$I$5:$I$11,MATCH($B117,'State Rules'!$A$5:$A$11,0)),"Yes","No"),""))</f>
        <v>No</v>
      </c>
      <c r="S117" s="7"/>
      <c r="T117" s="7"/>
      <c r="U117" s="21"/>
      <c r="V117" s="21"/>
      <c r="W117" s="21"/>
      <c r="X117" s="7"/>
      <c r="Y117" s="9" t="n">
        <f aca="false">IF(P117="","",IF(P117&lt;=$B$4,N(V117)+N(W117),0))</f>
        <v>0</v>
      </c>
    </row>
    <row r="118" customFormat="false" ht="15" hidden="false" customHeight="false" outlineLevel="0" collapsed="false">
      <c r="A118" s="10" t="s">
        <v>31</v>
      </c>
      <c r="B118" s="11" t="str">
        <f aca="false">IFERROR(INDEX(Summary!$B$7:$B$14,MATCH($A118,Summary!$A$7:$A$14,0)),"")</f>
        <v>TX</v>
      </c>
      <c r="C118" s="10" t="s">
        <v>31</v>
      </c>
      <c r="D118" s="10" t="n">
        <v>43</v>
      </c>
      <c r="E118" s="19" t="n">
        <v>45539</v>
      </c>
      <c r="F118" s="10" t="s">
        <v>315</v>
      </c>
      <c r="G118" s="10" t="s">
        <v>210</v>
      </c>
      <c r="H118" s="9" t="n">
        <v>250</v>
      </c>
      <c r="I118" s="10"/>
      <c r="J118" s="10" t="s">
        <v>84</v>
      </c>
      <c r="K118" s="20" t="n">
        <f aca="false">IF(E118="","",($B$4-E118)/365.25)</f>
        <v>2.08624229979466</v>
      </c>
      <c r="L118" s="10" t="str">
        <f aca="false">IF(K118="","no date",IF(K118&lt;1,"0-1 yrs",IF(K118&lt;2,"1-2 yrs",IF(K118&lt;3,"2-3 yrs",IF(K118&lt;5,"3-5 yrs","5+ yrs")))))</f>
        <v>2-3 yrs</v>
      </c>
      <c r="M118" s="10" t="s">
        <v>85</v>
      </c>
      <c r="N118" s="11" t="n">
        <f aca="false">IFERROR(INDEX('State Rules'!$C$5:$C$11,MATCH($B118,'State Rules'!$A$5:$A$11,0)),"")</f>
        <v>1</v>
      </c>
      <c r="O118" s="19" t="n">
        <f aca="false">IF(OR(N118="",E118=""),"",EDATE(E118,12*N118))</f>
        <v>45904</v>
      </c>
      <c r="P118" s="19" t="n">
        <f aca="false">IF(E118="","",IFERROR(EDATE(E118,12*INDEX('State Rules'!$E$5:$E$11,MATCH($B118,'State Rules'!$A$5:$A$11,0))),""))</f>
        <v>46634</v>
      </c>
      <c r="Q118" s="10" t="str">
        <f aca="false">IF(O118="","",IFERROR(IF(O118&lt;=INDEX('State Rules'!$I$5:$I$11,MATCH($B118,'State Rules'!$A$5:$A$11,0)),"Yes","No"),""))</f>
        <v>Yes</v>
      </c>
      <c r="R118" s="10" t="str">
        <f aca="false">IF(P118="","",IFERROR(IF(P118&lt;=INDEX('State Rules'!$I$5:$I$11,MATCH($B118,'State Rules'!$A$5:$A$11,0)),"Yes","No"),""))</f>
        <v>No</v>
      </c>
      <c r="S118" s="7"/>
      <c r="T118" s="7"/>
      <c r="U118" s="21"/>
      <c r="V118" s="21"/>
      <c r="W118" s="21"/>
      <c r="X118" s="7"/>
      <c r="Y118" s="9" t="n">
        <f aca="false">IF(P118="","",IF(P118&lt;=$B$4,N(V118)+N(W118),0))</f>
        <v>0</v>
      </c>
    </row>
    <row r="119" customFormat="false" ht="15" hidden="false" customHeight="false" outlineLevel="0" collapsed="false">
      <c r="A119" s="10" t="s">
        <v>31</v>
      </c>
      <c r="B119" s="11" t="str">
        <f aca="false">IFERROR(INDEX(Summary!$B$7:$B$14,MATCH($A119,Summary!$A$7:$A$14,0)),"")</f>
        <v>TX</v>
      </c>
      <c r="C119" s="10" t="s">
        <v>31</v>
      </c>
      <c r="D119" s="10" t="n">
        <v>44</v>
      </c>
      <c r="E119" s="19" t="n">
        <v>45545</v>
      </c>
      <c r="F119" s="10" t="s">
        <v>316</v>
      </c>
      <c r="G119" s="10" t="s">
        <v>317</v>
      </c>
      <c r="H119" s="9" t="n">
        <v>250</v>
      </c>
      <c r="I119" s="10" t="s">
        <v>318</v>
      </c>
      <c r="J119" s="10" t="s">
        <v>84</v>
      </c>
      <c r="K119" s="20" t="n">
        <f aca="false">IF(E119="","",($B$4-E119)/365.25)</f>
        <v>2.06981519507187</v>
      </c>
      <c r="L119" s="10" t="str">
        <f aca="false">IF(K119="","no date",IF(K119&lt;1,"0-1 yrs",IF(K119&lt;2,"1-2 yrs",IF(K119&lt;3,"2-3 yrs",IF(K119&lt;5,"3-5 yrs","5+ yrs")))))</f>
        <v>2-3 yrs</v>
      </c>
      <c r="M119" s="10" t="s">
        <v>85</v>
      </c>
      <c r="N119" s="11" t="n">
        <f aca="false">IFERROR(INDEX('State Rules'!$C$5:$C$11,MATCH($B119,'State Rules'!$A$5:$A$11,0)),"")</f>
        <v>1</v>
      </c>
      <c r="O119" s="19" t="n">
        <f aca="false">IF(OR(N119="",E119=""),"",EDATE(E119,12*N119))</f>
        <v>45910</v>
      </c>
      <c r="P119" s="19" t="n">
        <f aca="false">IF(E119="","",IFERROR(EDATE(E119,12*INDEX('State Rules'!$E$5:$E$11,MATCH($B119,'State Rules'!$A$5:$A$11,0))),""))</f>
        <v>46640</v>
      </c>
      <c r="Q119" s="10" t="str">
        <f aca="false">IF(O119="","",IFERROR(IF(O119&lt;=INDEX('State Rules'!$I$5:$I$11,MATCH($B119,'State Rules'!$A$5:$A$11,0)),"Yes","No"),""))</f>
        <v>Yes</v>
      </c>
      <c r="R119" s="10" t="str">
        <f aca="false">IF(P119="","",IFERROR(IF(P119&lt;=INDEX('State Rules'!$I$5:$I$11,MATCH($B119,'State Rules'!$A$5:$A$11,0)),"Yes","No"),""))</f>
        <v>No</v>
      </c>
      <c r="S119" s="7"/>
      <c r="T119" s="7"/>
      <c r="U119" s="21"/>
      <c r="V119" s="21"/>
      <c r="W119" s="21"/>
      <c r="X119" s="7"/>
      <c r="Y119" s="9" t="n">
        <f aca="false">IF(P119="","",IF(P119&lt;=$B$4,N(V119)+N(W119),0))</f>
        <v>0</v>
      </c>
    </row>
    <row r="120" customFormat="false" ht="15" hidden="false" customHeight="false" outlineLevel="0" collapsed="false">
      <c r="A120" s="10" t="s">
        <v>31</v>
      </c>
      <c r="B120" s="11" t="str">
        <f aca="false">IFERROR(INDEX(Summary!$B$7:$B$14,MATCH($A120,Summary!$A$7:$A$14,0)),"")</f>
        <v>TX</v>
      </c>
      <c r="C120" s="10" t="s">
        <v>31</v>
      </c>
      <c r="D120" s="10" t="n">
        <v>45</v>
      </c>
      <c r="E120" s="19" t="n">
        <v>45547</v>
      </c>
      <c r="F120" s="10" t="s">
        <v>319</v>
      </c>
      <c r="G120" s="10"/>
      <c r="H120" s="9" t="n">
        <v>300</v>
      </c>
      <c r="I120" s="10" t="s">
        <v>320</v>
      </c>
      <c r="J120" s="10" t="s">
        <v>84</v>
      </c>
      <c r="K120" s="20" t="n">
        <f aca="false">IF(E120="","",($B$4-E120)/365.25)</f>
        <v>2.0643394934976</v>
      </c>
      <c r="L120" s="10" t="str">
        <f aca="false">IF(K120="","no date",IF(K120&lt;1,"0-1 yrs",IF(K120&lt;2,"1-2 yrs",IF(K120&lt;3,"2-3 yrs",IF(K120&lt;5,"3-5 yrs","5+ yrs")))))</f>
        <v>2-3 yrs</v>
      </c>
      <c r="M120" s="10" t="s">
        <v>85</v>
      </c>
      <c r="N120" s="11" t="n">
        <f aca="false">IFERROR(INDEX('State Rules'!$C$5:$C$11,MATCH($B120,'State Rules'!$A$5:$A$11,0)),"")</f>
        <v>1</v>
      </c>
      <c r="O120" s="19" t="n">
        <f aca="false">IF(OR(N120="",E120=""),"",EDATE(E120,12*N120))</f>
        <v>45912</v>
      </c>
      <c r="P120" s="19" t="n">
        <f aca="false">IF(E120="","",IFERROR(EDATE(E120,12*INDEX('State Rules'!$E$5:$E$11,MATCH($B120,'State Rules'!$A$5:$A$11,0))),""))</f>
        <v>46642</v>
      </c>
      <c r="Q120" s="10" t="str">
        <f aca="false">IF(O120="","",IFERROR(IF(O120&lt;=INDEX('State Rules'!$I$5:$I$11,MATCH($B120,'State Rules'!$A$5:$A$11,0)),"Yes","No"),""))</f>
        <v>Yes</v>
      </c>
      <c r="R120" s="10" t="str">
        <f aca="false">IF(P120="","",IFERROR(IF(P120&lt;=INDEX('State Rules'!$I$5:$I$11,MATCH($B120,'State Rules'!$A$5:$A$11,0)),"Yes","No"),""))</f>
        <v>No</v>
      </c>
      <c r="S120" s="7"/>
      <c r="T120" s="7"/>
      <c r="U120" s="21"/>
      <c r="V120" s="21"/>
      <c r="W120" s="21"/>
      <c r="X120" s="7"/>
      <c r="Y120" s="9" t="n">
        <f aca="false">IF(P120="","",IF(P120&lt;=$B$4,N(V120)+N(W120),0))</f>
        <v>0</v>
      </c>
    </row>
    <row r="121" customFormat="false" ht="15" hidden="false" customHeight="false" outlineLevel="0" collapsed="false">
      <c r="A121" s="10" t="s">
        <v>31</v>
      </c>
      <c r="B121" s="11" t="str">
        <f aca="false">IFERROR(INDEX(Summary!$B$7:$B$14,MATCH($A121,Summary!$A$7:$A$14,0)),"")</f>
        <v>TX</v>
      </c>
      <c r="C121" s="10" t="s">
        <v>31</v>
      </c>
      <c r="D121" s="10" t="n">
        <v>46</v>
      </c>
      <c r="E121" s="19" t="n">
        <v>45551</v>
      </c>
      <c r="F121" s="10" t="s">
        <v>321</v>
      </c>
      <c r="G121" s="10"/>
      <c r="H121" s="9" t="n">
        <v>644</v>
      </c>
      <c r="I121" s="10" t="s">
        <v>322</v>
      </c>
      <c r="J121" s="10" t="s">
        <v>84</v>
      </c>
      <c r="K121" s="20" t="n">
        <f aca="false">IF(E121="","",($B$4-E121)/365.25)</f>
        <v>2.05338809034908</v>
      </c>
      <c r="L121" s="10" t="str">
        <f aca="false">IF(K121="","no date",IF(K121&lt;1,"0-1 yrs",IF(K121&lt;2,"1-2 yrs",IF(K121&lt;3,"2-3 yrs",IF(K121&lt;5,"3-5 yrs","5+ yrs")))))</f>
        <v>2-3 yrs</v>
      </c>
      <c r="M121" s="10" t="s">
        <v>123</v>
      </c>
      <c r="N121" s="11" t="n">
        <f aca="false">IFERROR(INDEX('State Rules'!$C$5:$C$11,MATCH($B121,'State Rules'!$A$5:$A$11,0)),"")</f>
        <v>1</v>
      </c>
      <c r="O121" s="19" t="n">
        <f aca="false">IF(OR(N121="",E121=""),"",EDATE(E121,12*N121))</f>
        <v>45916</v>
      </c>
      <c r="P121" s="19" t="n">
        <f aca="false">IF(E121="","",IFERROR(EDATE(E121,12*INDEX('State Rules'!$E$5:$E$11,MATCH($B121,'State Rules'!$A$5:$A$11,0))),""))</f>
        <v>46646</v>
      </c>
      <c r="Q121" s="10" t="str">
        <f aca="false">IF(O121="","",IFERROR(IF(O121&lt;=INDEX('State Rules'!$I$5:$I$11,MATCH($B121,'State Rules'!$A$5:$A$11,0)),"Yes","No"),""))</f>
        <v>Yes</v>
      </c>
      <c r="R121" s="10" t="str">
        <f aca="false">IF(P121="","",IFERROR(IF(P121&lt;=INDEX('State Rules'!$I$5:$I$11,MATCH($B121,'State Rules'!$A$5:$A$11,0)),"Yes","No"),""))</f>
        <v>No</v>
      </c>
      <c r="S121" s="7"/>
      <c r="T121" s="7"/>
      <c r="U121" s="21"/>
      <c r="V121" s="21"/>
      <c r="W121" s="21"/>
      <c r="X121" s="7"/>
      <c r="Y121" s="9" t="n">
        <f aca="false">IF(P121="","",IF(P121&lt;=$B$4,N(V121)+N(W121),0))</f>
        <v>0</v>
      </c>
    </row>
    <row r="122" customFormat="false" ht="15" hidden="false" customHeight="false" outlineLevel="0" collapsed="false">
      <c r="A122" s="10" t="s">
        <v>31</v>
      </c>
      <c r="B122" s="11" t="str">
        <f aca="false">IFERROR(INDEX(Summary!$B$7:$B$14,MATCH($A122,Summary!$A$7:$A$14,0)),"")</f>
        <v>TX</v>
      </c>
      <c r="C122" s="10" t="s">
        <v>31</v>
      </c>
      <c r="D122" s="10" t="n">
        <v>47</v>
      </c>
      <c r="E122" s="19" t="n">
        <v>45559</v>
      </c>
      <c r="F122" s="10" t="s">
        <v>323</v>
      </c>
      <c r="G122" s="10" t="s">
        <v>324</v>
      </c>
      <c r="H122" s="9" t="n">
        <v>150</v>
      </c>
      <c r="I122" s="10"/>
      <c r="J122" s="10" t="s">
        <v>84</v>
      </c>
      <c r="K122" s="20" t="n">
        <f aca="false">IF(E122="","",($B$4-E122)/365.25)</f>
        <v>2.03148528405202</v>
      </c>
      <c r="L122" s="10" t="str">
        <f aca="false">IF(K122="","no date",IF(K122&lt;1,"0-1 yrs",IF(K122&lt;2,"1-2 yrs",IF(K122&lt;3,"2-3 yrs",IF(K122&lt;5,"3-5 yrs","5+ yrs")))))</f>
        <v>2-3 yrs</v>
      </c>
      <c r="M122" s="10" t="s">
        <v>85</v>
      </c>
      <c r="N122" s="11" t="n">
        <f aca="false">IFERROR(INDEX('State Rules'!$C$5:$C$11,MATCH($B122,'State Rules'!$A$5:$A$11,0)),"")</f>
        <v>1</v>
      </c>
      <c r="O122" s="19" t="n">
        <f aca="false">IF(OR(N122="",E122=""),"",EDATE(E122,12*N122))</f>
        <v>45924</v>
      </c>
      <c r="P122" s="19" t="n">
        <f aca="false">IF(E122="","",IFERROR(EDATE(E122,12*INDEX('State Rules'!$E$5:$E$11,MATCH($B122,'State Rules'!$A$5:$A$11,0))),""))</f>
        <v>46654</v>
      </c>
      <c r="Q122" s="10" t="str">
        <f aca="false">IF(O122="","",IFERROR(IF(O122&lt;=INDEX('State Rules'!$I$5:$I$11,MATCH($B122,'State Rules'!$A$5:$A$11,0)),"Yes","No"),""))</f>
        <v>Yes</v>
      </c>
      <c r="R122" s="10" t="str">
        <f aca="false">IF(P122="","",IFERROR(IF(P122&lt;=INDEX('State Rules'!$I$5:$I$11,MATCH($B122,'State Rules'!$A$5:$A$11,0)),"Yes","No"),""))</f>
        <v>No</v>
      </c>
      <c r="S122" s="7"/>
      <c r="T122" s="7"/>
      <c r="U122" s="21"/>
      <c r="V122" s="21"/>
      <c r="W122" s="21"/>
      <c r="X122" s="7"/>
      <c r="Y122" s="9" t="n">
        <f aca="false">IF(P122="","",IF(P122&lt;=$B$4,N(V122)+N(W122),0))</f>
        <v>0</v>
      </c>
    </row>
    <row r="123" customFormat="false" ht="15" hidden="false" customHeight="false" outlineLevel="0" collapsed="false">
      <c r="A123" s="10" t="s">
        <v>31</v>
      </c>
      <c r="B123" s="11" t="str">
        <f aca="false">IFERROR(INDEX(Summary!$B$7:$B$14,MATCH($A123,Summary!$A$7:$A$14,0)),"")</f>
        <v>TX</v>
      </c>
      <c r="C123" s="10" t="s">
        <v>31</v>
      </c>
      <c r="D123" s="10" t="n">
        <v>48</v>
      </c>
      <c r="E123" s="19" t="n">
        <v>45569</v>
      </c>
      <c r="F123" s="10" t="s">
        <v>325</v>
      </c>
      <c r="G123" s="10" t="s">
        <v>326</v>
      </c>
      <c r="H123" s="9" t="n">
        <v>250</v>
      </c>
      <c r="I123" s="10" t="s">
        <v>327</v>
      </c>
      <c r="J123" s="10" t="s">
        <v>84</v>
      </c>
      <c r="K123" s="20" t="n">
        <f aca="false">IF(E123="","",($B$4-E123)/365.25)</f>
        <v>2.0041067761807</v>
      </c>
      <c r="L123" s="10" t="str">
        <f aca="false">IF(K123="","no date",IF(K123&lt;1,"0-1 yrs",IF(K123&lt;2,"1-2 yrs",IF(K123&lt;3,"2-3 yrs",IF(K123&lt;5,"3-5 yrs","5+ yrs")))))</f>
        <v>2-3 yrs</v>
      </c>
      <c r="M123" s="10" t="s">
        <v>85</v>
      </c>
      <c r="N123" s="11" t="n">
        <f aca="false">IFERROR(INDEX('State Rules'!$C$5:$C$11,MATCH($B123,'State Rules'!$A$5:$A$11,0)),"")</f>
        <v>1</v>
      </c>
      <c r="O123" s="19" t="n">
        <f aca="false">IF(OR(N123="",E123=""),"",EDATE(E123,12*N123))</f>
        <v>45934</v>
      </c>
      <c r="P123" s="19" t="n">
        <f aca="false">IF(E123="","",IFERROR(EDATE(E123,12*INDEX('State Rules'!$E$5:$E$11,MATCH($B123,'State Rules'!$A$5:$A$11,0))),""))</f>
        <v>46664</v>
      </c>
      <c r="Q123" s="10" t="str">
        <f aca="false">IF(O123="","",IFERROR(IF(O123&lt;=INDEX('State Rules'!$I$5:$I$11,MATCH($B123,'State Rules'!$A$5:$A$11,0)),"Yes","No"),""))</f>
        <v>Yes</v>
      </c>
      <c r="R123" s="10" t="str">
        <f aca="false">IF(P123="","",IFERROR(IF(P123&lt;=INDEX('State Rules'!$I$5:$I$11,MATCH($B123,'State Rules'!$A$5:$A$11,0)),"Yes","No"),""))</f>
        <v>No</v>
      </c>
      <c r="S123" s="7"/>
      <c r="T123" s="7"/>
      <c r="U123" s="21"/>
      <c r="V123" s="21"/>
      <c r="W123" s="21"/>
      <c r="X123" s="7"/>
      <c r="Y123" s="9" t="n">
        <f aca="false">IF(P123="","",IF(P123&lt;=$B$4,N(V123)+N(W123),0))</f>
        <v>0</v>
      </c>
    </row>
    <row r="124" customFormat="false" ht="15" hidden="false" customHeight="false" outlineLevel="0" collapsed="false">
      <c r="A124" s="10" t="s">
        <v>31</v>
      </c>
      <c r="B124" s="11" t="str">
        <f aca="false">IFERROR(INDEX(Summary!$B$7:$B$14,MATCH($A124,Summary!$A$7:$A$14,0)),"")</f>
        <v>TX</v>
      </c>
      <c r="C124" s="10" t="s">
        <v>31</v>
      </c>
      <c r="D124" s="10" t="n">
        <v>49</v>
      </c>
      <c r="E124" s="19" t="n">
        <v>45582</v>
      </c>
      <c r="F124" s="10" t="s">
        <v>328</v>
      </c>
      <c r="G124" s="10" t="s">
        <v>329</v>
      </c>
      <c r="H124" s="9" t="n">
        <v>639.98</v>
      </c>
      <c r="I124" s="10"/>
      <c r="J124" s="10" t="s">
        <v>84</v>
      </c>
      <c r="K124" s="20" t="n">
        <f aca="false">IF(E124="","",($B$4-E124)/365.25)</f>
        <v>1.96851471594798</v>
      </c>
      <c r="L124" s="10" t="str">
        <f aca="false">IF(K124="","no date",IF(K124&lt;1,"0-1 yrs",IF(K124&lt;2,"1-2 yrs",IF(K124&lt;3,"2-3 yrs",IF(K124&lt;5,"3-5 yrs","5+ yrs")))))</f>
        <v>1-2 yrs</v>
      </c>
      <c r="M124" s="10" t="s">
        <v>85</v>
      </c>
      <c r="N124" s="11" t="n">
        <f aca="false">IFERROR(INDEX('State Rules'!$C$5:$C$11,MATCH($B124,'State Rules'!$A$5:$A$11,0)),"")</f>
        <v>1</v>
      </c>
      <c r="O124" s="19" t="n">
        <f aca="false">IF(OR(N124="",E124=""),"",EDATE(E124,12*N124))</f>
        <v>45947</v>
      </c>
      <c r="P124" s="19" t="n">
        <f aca="false">IF(E124="","",IFERROR(EDATE(E124,12*INDEX('State Rules'!$E$5:$E$11,MATCH($B124,'State Rules'!$A$5:$A$11,0))),""))</f>
        <v>46677</v>
      </c>
      <c r="Q124" s="10" t="str">
        <f aca="false">IF(O124="","",IFERROR(IF(O124&lt;=INDEX('State Rules'!$I$5:$I$11,MATCH($B124,'State Rules'!$A$5:$A$11,0)),"Yes","No"),""))</f>
        <v>Yes</v>
      </c>
      <c r="R124" s="10" t="str">
        <f aca="false">IF(P124="","",IFERROR(IF(P124&lt;=INDEX('State Rules'!$I$5:$I$11,MATCH($B124,'State Rules'!$A$5:$A$11,0)),"Yes","No"),""))</f>
        <v>No</v>
      </c>
      <c r="S124" s="7"/>
      <c r="T124" s="7"/>
      <c r="U124" s="21"/>
      <c r="V124" s="21"/>
      <c r="W124" s="21"/>
      <c r="X124" s="7"/>
      <c r="Y124" s="9" t="n">
        <f aca="false">IF(P124="","",IF(P124&lt;=$B$4,N(V124)+N(W124),0))</f>
        <v>0</v>
      </c>
    </row>
    <row r="125" customFormat="false" ht="15" hidden="false" customHeight="false" outlineLevel="0" collapsed="false">
      <c r="A125" s="10" t="s">
        <v>31</v>
      </c>
      <c r="B125" s="11" t="str">
        <f aca="false">IFERROR(INDEX(Summary!$B$7:$B$14,MATCH($A125,Summary!$A$7:$A$14,0)),"")</f>
        <v>TX</v>
      </c>
      <c r="C125" s="10" t="s">
        <v>31</v>
      </c>
      <c r="D125" s="10" t="n">
        <v>50</v>
      </c>
      <c r="E125" s="19" t="n">
        <v>45594</v>
      </c>
      <c r="F125" s="10" t="s">
        <v>330</v>
      </c>
      <c r="G125" s="10"/>
      <c r="H125" s="9" t="n">
        <v>200</v>
      </c>
      <c r="I125" s="10" t="s">
        <v>331</v>
      </c>
      <c r="J125" s="10" t="s">
        <v>84</v>
      </c>
      <c r="K125" s="20" t="n">
        <f aca="false">IF(E125="","",($B$4-E125)/365.25)</f>
        <v>1.9356605065024</v>
      </c>
      <c r="L125" s="10" t="str">
        <f aca="false">IF(K125="","no date",IF(K125&lt;1,"0-1 yrs",IF(K125&lt;2,"1-2 yrs",IF(K125&lt;3,"2-3 yrs",IF(K125&lt;5,"3-5 yrs","5+ yrs")))))</f>
        <v>1-2 yrs</v>
      </c>
      <c r="M125" s="22" t="s">
        <v>96</v>
      </c>
      <c r="N125" s="11" t="n">
        <f aca="false">IFERROR(INDEX('State Rules'!$C$5:$C$11,MATCH($B125,'State Rules'!$A$5:$A$11,0)),"")</f>
        <v>1</v>
      </c>
      <c r="O125" s="19" t="n">
        <f aca="false">IF(OR(N125="",E125=""),"",EDATE(E125,12*N125))</f>
        <v>45959</v>
      </c>
      <c r="P125" s="19" t="n">
        <f aca="false">IF(E125="","",IFERROR(EDATE(E125,12*INDEX('State Rules'!$E$5:$E$11,MATCH($B125,'State Rules'!$A$5:$A$11,0))),""))</f>
        <v>46689</v>
      </c>
      <c r="Q125" s="10" t="str">
        <f aca="false">IF(O125="","",IFERROR(IF(O125&lt;=INDEX('State Rules'!$I$5:$I$11,MATCH($B125,'State Rules'!$A$5:$A$11,0)),"Yes","No"),""))</f>
        <v>Yes</v>
      </c>
      <c r="R125" s="10" t="str">
        <f aca="false">IF(P125="","",IFERROR(IF(P125&lt;=INDEX('State Rules'!$I$5:$I$11,MATCH($B125,'State Rules'!$A$5:$A$11,0)),"Yes","No"),""))</f>
        <v>No</v>
      </c>
      <c r="S125" s="7"/>
      <c r="T125" s="7"/>
      <c r="U125" s="21"/>
      <c r="V125" s="21"/>
      <c r="W125" s="21"/>
      <c r="X125" s="7"/>
      <c r="Y125" s="9" t="n">
        <f aca="false">IF(P125="","",IF(P125&lt;=$B$4,N(V125)+N(W125),0))</f>
        <v>0</v>
      </c>
    </row>
    <row r="126" customFormat="false" ht="15" hidden="false" customHeight="false" outlineLevel="0" collapsed="false">
      <c r="A126" s="10" t="s">
        <v>31</v>
      </c>
      <c r="B126" s="11" t="str">
        <f aca="false">IFERROR(INDEX(Summary!$B$7:$B$14,MATCH($A126,Summary!$A$7:$A$14,0)),"")</f>
        <v>TX</v>
      </c>
      <c r="C126" s="10" t="s">
        <v>31</v>
      </c>
      <c r="D126" s="10" t="n">
        <v>51</v>
      </c>
      <c r="E126" s="19" t="n">
        <v>45601</v>
      </c>
      <c r="F126" s="10" t="s">
        <v>332</v>
      </c>
      <c r="G126" s="10"/>
      <c r="H126" s="9" t="n">
        <v>469.5</v>
      </c>
      <c r="I126" s="10" t="s">
        <v>297</v>
      </c>
      <c r="J126" s="10" t="s">
        <v>84</v>
      </c>
      <c r="K126" s="20" t="n">
        <f aca="false">IF(E126="","",($B$4-E126)/365.25)</f>
        <v>1.91649555099247</v>
      </c>
      <c r="L126" s="10" t="str">
        <f aca="false">IF(K126="","no date",IF(K126&lt;1,"0-1 yrs",IF(K126&lt;2,"1-2 yrs",IF(K126&lt;3,"2-3 yrs",IF(K126&lt;5,"3-5 yrs","5+ yrs")))))</f>
        <v>1-2 yrs</v>
      </c>
      <c r="M126" s="10" t="s">
        <v>85</v>
      </c>
      <c r="N126" s="11" t="n">
        <f aca="false">IFERROR(INDEX('State Rules'!$C$5:$C$11,MATCH($B126,'State Rules'!$A$5:$A$11,0)),"")</f>
        <v>1</v>
      </c>
      <c r="O126" s="19" t="n">
        <f aca="false">IF(OR(N126="",E126=""),"",EDATE(E126,12*N126))</f>
        <v>45966</v>
      </c>
      <c r="P126" s="19" t="n">
        <f aca="false">IF(E126="","",IFERROR(EDATE(E126,12*INDEX('State Rules'!$E$5:$E$11,MATCH($B126,'State Rules'!$A$5:$A$11,0))),""))</f>
        <v>46696</v>
      </c>
      <c r="Q126" s="10" t="str">
        <f aca="false">IF(O126="","",IFERROR(IF(O126&lt;=INDEX('State Rules'!$I$5:$I$11,MATCH($B126,'State Rules'!$A$5:$A$11,0)),"Yes","No"),""))</f>
        <v>Yes</v>
      </c>
      <c r="R126" s="10" t="str">
        <f aca="false">IF(P126="","",IFERROR(IF(P126&lt;=INDEX('State Rules'!$I$5:$I$11,MATCH($B126,'State Rules'!$A$5:$A$11,0)),"Yes","No"),""))</f>
        <v>No</v>
      </c>
      <c r="S126" s="7"/>
      <c r="T126" s="7"/>
      <c r="U126" s="21"/>
      <c r="V126" s="21"/>
      <c r="W126" s="21"/>
      <c r="X126" s="7"/>
      <c r="Y126" s="9" t="n">
        <f aca="false">IF(P126="","",IF(P126&lt;=$B$4,N(V126)+N(W126),0))</f>
        <v>0</v>
      </c>
    </row>
    <row r="127" customFormat="false" ht="15" hidden="false" customHeight="false" outlineLevel="0" collapsed="false">
      <c r="A127" s="10" t="s">
        <v>31</v>
      </c>
      <c r="B127" s="11" t="str">
        <f aca="false">IFERROR(INDEX(Summary!$B$7:$B$14,MATCH($A127,Summary!$A$7:$A$14,0)),"")</f>
        <v>TX</v>
      </c>
      <c r="C127" s="10" t="s">
        <v>31</v>
      </c>
      <c r="D127" s="10" t="n">
        <v>52</v>
      </c>
      <c r="E127" s="19" t="n">
        <v>45609</v>
      </c>
      <c r="F127" s="10" t="s">
        <v>333</v>
      </c>
      <c r="G127" s="10"/>
      <c r="H127" s="9" t="n">
        <v>229</v>
      </c>
      <c r="I127" s="10" t="s">
        <v>334</v>
      </c>
      <c r="J127" s="10" t="s">
        <v>84</v>
      </c>
      <c r="K127" s="20" t="n">
        <f aca="false">IF(E127="","",($B$4-E127)/365.25)</f>
        <v>1.89459274469541</v>
      </c>
      <c r="L127" s="10" t="str">
        <f aca="false">IF(K127="","no date",IF(K127&lt;1,"0-1 yrs",IF(K127&lt;2,"1-2 yrs",IF(K127&lt;3,"2-3 yrs",IF(K127&lt;5,"3-5 yrs","5+ yrs")))))</f>
        <v>1-2 yrs</v>
      </c>
      <c r="M127" s="10" t="s">
        <v>85</v>
      </c>
      <c r="N127" s="11" t="n">
        <f aca="false">IFERROR(INDEX('State Rules'!$C$5:$C$11,MATCH($B127,'State Rules'!$A$5:$A$11,0)),"")</f>
        <v>1</v>
      </c>
      <c r="O127" s="19" t="n">
        <f aca="false">IF(OR(N127="",E127=""),"",EDATE(E127,12*N127))</f>
        <v>45974</v>
      </c>
      <c r="P127" s="19" t="n">
        <f aca="false">IF(E127="","",IFERROR(EDATE(E127,12*INDEX('State Rules'!$E$5:$E$11,MATCH($B127,'State Rules'!$A$5:$A$11,0))),""))</f>
        <v>46704</v>
      </c>
      <c r="Q127" s="10" t="str">
        <f aca="false">IF(O127="","",IFERROR(IF(O127&lt;=INDEX('State Rules'!$I$5:$I$11,MATCH($B127,'State Rules'!$A$5:$A$11,0)),"Yes","No"),""))</f>
        <v>Yes</v>
      </c>
      <c r="R127" s="10" t="str">
        <f aca="false">IF(P127="","",IFERROR(IF(P127&lt;=INDEX('State Rules'!$I$5:$I$11,MATCH($B127,'State Rules'!$A$5:$A$11,0)),"Yes","No"),""))</f>
        <v>No</v>
      </c>
      <c r="S127" s="7"/>
      <c r="T127" s="7"/>
      <c r="U127" s="21"/>
      <c r="V127" s="21"/>
      <c r="W127" s="21"/>
      <c r="X127" s="7"/>
      <c r="Y127" s="9" t="n">
        <f aca="false">IF(P127="","",IF(P127&lt;=$B$4,N(V127)+N(W127),0))</f>
        <v>0</v>
      </c>
    </row>
    <row r="128" customFormat="false" ht="15" hidden="false" customHeight="false" outlineLevel="0" collapsed="false">
      <c r="A128" s="10" t="s">
        <v>31</v>
      </c>
      <c r="B128" s="11" t="str">
        <f aca="false">IFERROR(INDEX(Summary!$B$7:$B$14,MATCH($A128,Summary!$A$7:$A$14,0)),"")</f>
        <v>TX</v>
      </c>
      <c r="C128" s="10" t="s">
        <v>31</v>
      </c>
      <c r="D128" s="10" t="n">
        <v>53</v>
      </c>
      <c r="E128" s="19" t="n">
        <v>45632</v>
      </c>
      <c r="F128" s="10" t="s">
        <v>335</v>
      </c>
      <c r="G128" s="10"/>
      <c r="H128" s="9" t="n">
        <v>176.25</v>
      </c>
      <c r="I128" s="10"/>
      <c r="J128" s="10" t="s">
        <v>84</v>
      </c>
      <c r="K128" s="20" t="n">
        <f aca="false">IF(E128="","",($B$4-E128)/365.25)</f>
        <v>1.83162217659138</v>
      </c>
      <c r="L128" s="10" t="str">
        <f aca="false">IF(K128="","no date",IF(K128&lt;1,"0-1 yrs",IF(K128&lt;2,"1-2 yrs",IF(K128&lt;3,"2-3 yrs",IF(K128&lt;5,"3-5 yrs","5+ yrs")))))</f>
        <v>1-2 yrs</v>
      </c>
      <c r="M128" s="10" t="s">
        <v>85</v>
      </c>
      <c r="N128" s="11" t="n">
        <f aca="false">IFERROR(INDEX('State Rules'!$C$5:$C$11,MATCH($B128,'State Rules'!$A$5:$A$11,0)),"")</f>
        <v>1</v>
      </c>
      <c r="O128" s="19" t="n">
        <f aca="false">IF(OR(N128="",E128=""),"",EDATE(E128,12*N128))</f>
        <v>45997</v>
      </c>
      <c r="P128" s="19" t="n">
        <f aca="false">IF(E128="","",IFERROR(EDATE(E128,12*INDEX('State Rules'!$E$5:$E$11,MATCH($B128,'State Rules'!$A$5:$A$11,0))),""))</f>
        <v>46727</v>
      </c>
      <c r="Q128" s="10" t="str">
        <f aca="false">IF(O128="","",IFERROR(IF(O128&lt;=INDEX('State Rules'!$I$5:$I$11,MATCH($B128,'State Rules'!$A$5:$A$11,0)),"Yes","No"),""))</f>
        <v>Yes</v>
      </c>
      <c r="R128" s="10" t="str">
        <f aca="false">IF(P128="","",IFERROR(IF(P128&lt;=INDEX('State Rules'!$I$5:$I$11,MATCH($B128,'State Rules'!$A$5:$A$11,0)),"Yes","No"),""))</f>
        <v>No</v>
      </c>
      <c r="S128" s="7"/>
      <c r="T128" s="7"/>
      <c r="U128" s="21"/>
      <c r="V128" s="21"/>
      <c r="W128" s="21"/>
      <c r="X128" s="7"/>
      <c r="Y128" s="9" t="n">
        <f aca="false">IF(P128="","",IF(P128&lt;=$B$4,N(V128)+N(W128),0))</f>
        <v>0</v>
      </c>
    </row>
    <row r="129" customFormat="false" ht="15" hidden="false" customHeight="false" outlineLevel="0" collapsed="false">
      <c r="A129" s="10" t="s">
        <v>31</v>
      </c>
      <c r="B129" s="11" t="str">
        <f aca="false">IFERROR(INDEX(Summary!$B$7:$B$14,MATCH($A129,Summary!$A$7:$A$14,0)),"")</f>
        <v>TX</v>
      </c>
      <c r="C129" s="10" t="s">
        <v>31</v>
      </c>
      <c r="D129" s="10" t="n">
        <v>54</v>
      </c>
      <c r="E129" s="19" t="n">
        <v>45644</v>
      </c>
      <c r="F129" s="10" t="s">
        <v>336</v>
      </c>
      <c r="G129" s="10"/>
      <c r="H129" s="9" t="n">
        <v>165</v>
      </c>
      <c r="I129" s="10"/>
      <c r="J129" s="10" t="s">
        <v>84</v>
      </c>
      <c r="K129" s="20" t="n">
        <f aca="false">IF(E129="","",($B$4-E129)/365.25)</f>
        <v>1.79876796714579</v>
      </c>
      <c r="L129" s="10" t="str">
        <f aca="false">IF(K129="","no date",IF(K129&lt;1,"0-1 yrs",IF(K129&lt;2,"1-2 yrs",IF(K129&lt;3,"2-3 yrs",IF(K129&lt;5,"3-5 yrs","5+ yrs")))))</f>
        <v>1-2 yrs</v>
      </c>
      <c r="M129" s="10" t="s">
        <v>85</v>
      </c>
      <c r="N129" s="11" t="n">
        <f aca="false">IFERROR(INDEX('State Rules'!$C$5:$C$11,MATCH($B129,'State Rules'!$A$5:$A$11,0)),"")</f>
        <v>1</v>
      </c>
      <c r="O129" s="19" t="n">
        <f aca="false">IF(OR(N129="",E129=""),"",EDATE(E129,12*N129))</f>
        <v>46009</v>
      </c>
      <c r="P129" s="19" t="n">
        <f aca="false">IF(E129="","",IFERROR(EDATE(E129,12*INDEX('State Rules'!$E$5:$E$11,MATCH($B129,'State Rules'!$A$5:$A$11,0))),""))</f>
        <v>46739</v>
      </c>
      <c r="Q129" s="10" t="str">
        <f aca="false">IF(O129="","",IFERROR(IF(O129&lt;=INDEX('State Rules'!$I$5:$I$11,MATCH($B129,'State Rules'!$A$5:$A$11,0)),"Yes","No"),""))</f>
        <v>Yes</v>
      </c>
      <c r="R129" s="10" t="str">
        <f aca="false">IF(P129="","",IFERROR(IF(P129&lt;=INDEX('State Rules'!$I$5:$I$11,MATCH($B129,'State Rules'!$A$5:$A$11,0)),"Yes","No"),""))</f>
        <v>No</v>
      </c>
      <c r="S129" s="7"/>
      <c r="T129" s="7"/>
      <c r="U129" s="21"/>
      <c r="V129" s="21"/>
      <c r="W129" s="21"/>
      <c r="X129" s="7"/>
      <c r="Y129" s="9" t="n">
        <f aca="false">IF(P129="","",IF(P129&lt;=$B$4,N(V129)+N(W129),0))</f>
        <v>0</v>
      </c>
    </row>
    <row r="130" customFormat="false" ht="15" hidden="false" customHeight="false" outlineLevel="0" collapsed="false">
      <c r="A130" s="10" t="s">
        <v>31</v>
      </c>
      <c r="B130" s="11" t="str">
        <f aca="false">IFERROR(INDEX(Summary!$B$7:$B$14,MATCH($A130,Summary!$A$7:$A$14,0)),"")</f>
        <v>TX</v>
      </c>
      <c r="C130" s="10" t="s">
        <v>31</v>
      </c>
      <c r="D130" s="10" t="n">
        <v>55</v>
      </c>
      <c r="E130" s="19" t="n">
        <v>45695</v>
      </c>
      <c r="F130" s="10" t="s">
        <v>337</v>
      </c>
      <c r="G130" s="10"/>
      <c r="H130" s="9" t="n">
        <v>195</v>
      </c>
      <c r="I130" s="10" t="s">
        <v>338</v>
      </c>
      <c r="J130" s="10" t="s">
        <v>84</v>
      </c>
      <c r="K130" s="20" t="n">
        <f aca="false">IF(E130="","",($B$4-E130)/365.25)</f>
        <v>1.65913757700205</v>
      </c>
      <c r="L130" s="10" t="str">
        <f aca="false">IF(K130="","no date",IF(K130&lt;1,"0-1 yrs",IF(K130&lt;2,"1-2 yrs",IF(K130&lt;3,"2-3 yrs",IF(K130&lt;5,"3-5 yrs","5+ yrs")))))</f>
        <v>1-2 yrs</v>
      </c>
      <c r="M130" s="10" t="s">
        <v>85</v>
      </c>
      <c r="N130" s="11" t="n">
        <f aca="false">IFERROR(INDEX('State Rules'!$C$5:$C$11,MATCH($B130,'State Rules'!$A$5:$A$11,0)),"")</f>
        <v>1</v>
      </c>
      <c r="O130" s="19" t="n">
        <f aca="false">IF(OR(N130="",E130=""),"",EDATE(E130,12*N130))</f>
        <v>46060</v>
      </c>
      <c r="P130" s="19" t="n">
        <f aca="false">IF(E130="","",IFERROR(EDATE(E130,12*INDEX('State Rules'!$E$5:$E$11,MATCH($B130,'State Rules'!$A$5:$A$11,0))),""))</f>
        <v>46790</v>
      </c>
      <c r="Q130" s="10" t="str">
        <f aca="false">IF(O130="","",IFERROR(IF(O130&lt;=INDEX('State Rules'!$I$5:$I$11,MATCH($B130,'State Rules'!$A$5:$A$11,0)),"Yes","No"),""))</f>
        <v>Yes</v>
      </c>
      <c r="R130" s="10" t="str">
        <f aca="false">IF(P130="","",IFERROR(IF(P130&lt;=INDEX('State Rules'!$I$5:$I$11,MATCH($B130,'State Rules'!$A$5:$A$11,0)),"Yes","No"),""))</f>
        <v>No</v>
      </c>
      <c r="S130" s="7"/>
      <c r="T130" s="7"/>
      <c r="U130" s="21"/>
      <c r="V130" s="21"/>
      <c r="W130" s="21"/>
      <c r="X130" s="7"/>
      <c r="Y130" s="9" t="n">
        <f aca="false">IF(P130="","",IF(P130&lt;=$B$4,N(V130)+N(W130),0))</f>
        <v>0</v>
      </c>
    </row>
    <row r="131" customFormat="false" ht="15" hidden="false" customHeight="false" outlineLevel="0" collapsed="false">
      <c r="A131" s="10" t="s">
        <v>31</v>
      </c>
      <c r="B131" s="11" t="str">
        <f aca="false">IFERROR(INDEX(Summary!$B$7:$B$14,MATCH($A131,Summary!$A$7:$A$14,0)),"")</f>
        <v>TX</v>
      </c>
      <c r="C131" s="10" t="s">
        <v>31</v>
      </c>
      <c r="D131" s="10" t="n">
        <v>56</v>
      </c>
      <c r="E131" s="19" t="n">
        <v>45825</v>
      </c>
      <c r="F131" s="10" t="s">
        <v>339</v>
      </c>
      <c r="G131" s="10"/>
      <c r="H131" s="9" t="n">
        <v>2175</v>
      </c>
      <c r="I131" s="10" t="s">
        <v>255</v>
      </c>
      <c r="J131" s="10" t="s">
        <v>84</v>
      </c>
      <c r="K131" s="20" t="n">
        <f aca="false">IF(E131="","",($B$4-E131)/365.25)</f>
        <v>1.30321697467488</v>
      </c>
      <c r="L131" s="10" t="str">
        <f aca="false">IF(K131="","no date",IF(K131&lt;1,"0-1 yrs",IF(K131&lt;2,"1-2 yrs",IF(K131&lt;3,"2-3 yrs",IF(K131&lt;5,"3-5 yrs","5+ yrs")))))</f>
        <v>1-2 yrs</v>
      </c>
      <c r="M131" s="10" t="s">
        <v>85</v>
      </c>
      <c r="N131" s="11" t="n">
        <f aca="false">IFERROR(INDEX('State Rules'!$C$5:$C$11,MATCH($B131,'State Rules'!$A$5:$A$11,0)),"")</f>
        <v>1</v>
      </c>
      <c r="O131" s="19" t="n">
        <f aca="false">IF(OR(N131="",E131=""),"",EDATE(E131,12*N131))</f>
        <v>46190</v>
      </c>
      <c r="P131" s="19" t="n">
        <f aca="false">IF(E131="","",IFERROR(EDATE(E131,12*INDEX('State Rules'!$E$5:$E$11,MATCH($B131,'State Rules'!$A$5:$A$11,0))),""))</f>
        <v>46921</v>
      </c>
      <c r="Q131" s="10" t="str">
        <f aca="false">IF(O131="","",IFERROR(IF(O131&lt;=INDEX('State Rules'!$I$5:$I$11,MATCH($B131,'State Rules'!$A$5:$A$11,0)),"Yes","No"),""))</f>
        <v>Yes</v>
      </c>
      <c r="R131" s="10" t="str">
        <f aca="false">IF(P131="","",IFERROR(IF(P131&lt;=INDEX('State Rules'!$I$5:$I$11,MATCH($B131,'State Rules'!$A$5:$A$11,0)),"Yes","No"),""))</f>
        <v>No</v>
      </c>
      <c r="S131" s="7"/>
      <c r="T131" s="7"/>
      <c r="U131" s="21"/>
      <c r="V131" s="21"/>
      <c r="W131" s="21"/>
      <c r="X131" s="7"/>
      <c r="Y131" s="9" t="n">
        <f aca="false">IF(P131="","",IF(P131&lt;=$B$4,N(V131)+N(W131),0))</f>
        <v>0</v>
      </c>
    </row>
    <row r="132" customFormat="false" ht="15" hidden="false" customHeight="false" outlineLevel="0" collapsed="false">
      <c r="A132" s="10" t="s">
        <v>31</v>
      </c>
      <c r="B132" s="11" t="str">
        <f aca="false">IFERROR(INDEX(Summary!$B$7:$B$14,MATCH($A132,Summary!$A$7:$A$14,0)),"")</f>
        <v>TX</v>
      </c>
      <c r="C132" s="10" t="s">
        <v>31</v>
      </c>
      <c r="D132" s="10" t="n">
        <v>57</v>
      </c>
      <c r="E132" s="19" t="n">
        <v>45873</v>
      </c>
      <c r="F132" s="10" t="s">
        <v>340</v>
      </c>
      <c r="G132" s="10"/>
      <c r="H132" s="9" t="n">
        <v>420</v>
      </c>
      <c r="I132" s="10" t="s">
        <v>341</v>
      </c>
      <c r="J132" s="10" t="s">
        <v>84</v>
      </c>
      <c r="K132" s="20" t="n">
        <f aca="false">IF(E132="","",($B$4-E132)/365.25)</f>
        <v>1.17180013689254</v>
      </c>
      <c r="L132" s="10" t="str">
        <f aca="false">IF(K132="","no date",IF(K132&lt;1,"0-1 yrs",IF(K132&lt;2,"1-2 yrs",IF(K132&lt;3,"2-3 yrs",IF(K132&lt;5,"3-5 yrs","5+ yrs")))))</f>
        <v>1-2 yrs</v>
      </c>
      <c r="M132" s="10" t="s">
        <v>85</v>
      </c>
      <c r="N132" s="11" t="n">
        <f aca="false">IFERROR(INDEX('State Rules'!$C$5:$C$11,MATCH($B132,'State Rules'!$A$5:$A$11,0)),"")</f>
        <v>1</v>
      </c>
      <c r="O132" s="19" t="n">
        <f aca="false">IF(OR(N132="",E132=""),"",EDATE(E132,12*N132))</f>
        <v>46238</v>
      </c>
      <c r="P132" s="19" t="n">
        <f aca="false">IF(E132="","",IFERROR(EDATE(E132,12*INDEX('State Rules'!$E$5:$E$11,MATCH($B132,'State Rules'!$A$5:$A$11,0))),""))</f>
        <v>46969</v>
      </c>
      <c r="Q132" s="10" t="str">
        <f aca="false">IF(O132="","",IFERROR(IF(O132&lt;=INDEX('State Rules'!$I$5:$I$11,MATCH($B132,'State Rules'!$A$5:$A$11,0)),"Yes","No"),""))</f>
        <v>Yes</v>
      </c>
      <c r="R132" s="10" t="str">
        <f aca="false">IF(P132="","",IFERROR(IF(P132&lt;=INDEX('State Rules'!$I$5:$I$11,MATCH($B132,'State Rules'!$A$5:$A$11,0)),"Yes","No"),""))</f>
        <v>No</v>
      </c>
      <c r="S132" s="7"/>
      <c r="T132" s="7"/>
      <c r="U132" s="21"/>
      <c r="V132" s="21"/>
      <c r="W132" s="21"/>
      <c r="X132" s="7"/>
      <c r="Y132" s="9" t="n">
        <f aca="false">IF(P132="","",IF(P132&lt;=$B$4,N(V132)+N(W132),0))</f>
        <v>0</v>
      </c>
    </row>
    <row r="133" customFormat="false" ht="15" hidden="false" customHeight="false" outlineLevel="0" collapsed="false">
      <c r="A133" s="10" t="s">
        <v>31</v>
      </c>
      <c r="B133" s="11" t="str">
        <f aca="false">IFERROR(INDEX(Summary!$B$7:$B$14,MATCH($A133,Summary!$A$7:$A$14,0)),"")</f>
        <v>TX</v>
      </c>
      <c r="C133" s="10" t="s">
        <v>31</v>
      </c>
      <c r="D133" s="10" t="n">
        <v>58</v>
      </c>
      <c r="E133" s="19" t="n">
        <v>45930</v>
      </c>
      <c r="F133" s="10" t="s">
        <v>342</v>
      </c>
      <c r="G133" s="10"/>
      <c r="H133" s="9" t="n">
        <v>869.78</v>
      </c>
      <c r="I133" s="10"/>
      <c r="J133" s="10" t="s">
        <v>84</v>
      </c>
      <c r="K133" s="20" t="n">
        <f aca="false">IF(E133="","",($B$4-E133)/365.25)</f>
        <v>1.01574264202601</v>
      </c>
      <c r="L133" s="10" t="str">
        <f aca="false">IF(K133="","no date",IF(K133&lt;1,"0-1 yrs",IF(K133&lt;2,"1-2 yrs",IF(K133&lt;3,"2-3 yrs",IF(K133&lt;5,"3-5 yrs","5+ yrs")))))</f>
        <v>1-2 yrs</v>
      </c>
      <c r="M133" s="10" t="s">
        <v>85</v>
      </c>
      <c r="N133" s="11" t="n">
        <f aca="false">IFERROR(INDEX('State Rules'!$C$5:$C$11,MATCH($B133,'State Rules'!$A$5:$A$11,0)),"")</f>
        <v>1</v>
      </c>
      <c r="O133" s="19" t="n">
        <f aca="false">IF(OR(N133="",E133=""),"",EDATE(E133,12*N133))</f>
        <v>46295</v>
      </c>
      <c r="P133" s="19" t="n">
        <f aca="false">IF(E133="","",IFERROR(EDATE(E133,12*INDEX('State Rules'!$E$5:$E$11,MATCH($B133,'State Rules'!$A$5:$A$11,0))),""))</f>
        <v>47026</v>
      </c>
      <c r="Q133" s="10" t="str">
        <f aca="false">IF(O133="","",IFERROR(IF(O133&lt;=INDEX('State Rules'!$I$5:$I$11,MATCH($B133,'State Rules'!$A$5:$A$11,0)),"Yes","No"),""))</f>
        <v>Yes</v>
      </c>
      <c r="R133" s="10" t="str">
        <f aca="false">IF(P133="","",IFERROR(IF(P133&lt;=INDEX('State Rules'!$I$5:$I$11,MATCH($B133,'State Rules'!$A$5:$A$11,0)),"Yes","No"),""))</f>
        <v>No</v>
      </c>
      <c r="S133" s="7"/>
      <c r="T133" s="7"/>
      <c r="U133" s="21"/>
      <c r="V133" s="21"/>
      <c r="W133" s="21"/>
      <c r="X133" s="7"/>
      <c r="Y133" s="9" t="n">
        <f aca="false">IF(P133="","",IF(P133&lt;=$B$4,N(V133)+N(W133),0))</f>
        <v>0</v>
      </c>
    </row>
    <row r="134" customFormat="false" ht="15" hidden="false" customHeight="false" outlineLevel="0" collapsed="false">
      <c r="A134" s="10" t="s">
        <v>31</v>
      </c>
      <c r="B134" s="11" t="str">
        <f aca="false">IFERROR(INDEX(Summary!$B$7:$B$14,MATCH($A134,Summary!$A$7:$A$14,0)),"")</f>
        <v>TX</v>
      </c>
      <c r="C134" s="10" t="s">
        <v>31</v>
      </c>
      <c r="D134" s="10" t="n">
        <v>59</v>
      </c>
      <c r="E134" s="19" t="n">
        <v>45966</v>
      </c>
      <c r="F134" s="10" t="s">
        <v>343</v>
      </c>
      <c r="G134" s="10"/>
      <c r="H134" s="9" t="n">
        <v>149</v>
      </c>
      <c r="I134" s="10"/>
      <c r="J134" s="10" t="s">
        <v>84</v>
      </c>
      <c r="K134" s="20" t="n">
        <f aca="false">IF(E134="","",($B$4-E134)/365.25)</f>
        <v>0.917180013689254</v>
      </c>
      <c r="L134" s="10" t="str">
        <f aca="false">IF(K134="","no date",IF(K134&lt;1,"0-1 yrs",IF(K134&lt;2,"1-2 yrs",IF(K134&lt;3,"2-3 yrs",IF(K134&lt;5,"3-5 yrs","5+ yrs")))))</f>
        <v>0-1 yrs</v>
      </c>
      <c r="M134" s="10" t="s">
        <v>85</v>
      </c>
      <c r="N134" s="11" t="n">
        <f aca="false">IFERROR(INDEX('State Rules'!$C$5:$C$11,MATCH($B134,'State Rules'!$A$5:$A$11,0)),"")</f>
        <v>1</v>
      </c>
      <c r="O134" s="19" t="n">
        <f aca="false">IF(OR(N134="",E134=""),"",EDATE(E134,12*N134))</f>
        <v>46331</v>
      </c>
      <c r="P134" s="19" t="n">
        <f aca="false">IF(E134="","",IFERROR(EDATE(E134,12*INDEX('State Rules'!$E$5:$E$11,MATCH($B134,'State Rules'!$A$5:$A$11,0))),""))</f>
        <v>47062</v>
      </c>
      <c r="Q134" s="10" t="str">
        <f aca="false">IF(O134="","",IFERROR(IF(O134&lt;=INDEX('State Rules'!$I$5:$I$11,MATCH($B134,'State Rules'!$A$5:$A$11,0)),"Yes","No"),""))</f>
        <v>Yes</v>
      </c>
      <c r="R134" s="10" t="str">
        <f aca="false">IF(P134="","",IFERROR(IF(P134&lt;=INDEX('State Rules'!$I$5:$I$11,MATCH($B134,'State Rules'!$A$5:$A$11,0)),"Yes","No"),""))</f>
        <v>No</v>
      </c>
      <c r="S134" s="7"/>
      <c r="T134" s="7"/>
      <c r="U134" s="21"/>
      <c r="V134" s="21"/>
      <c r="W134" s="21"/>
      <c r="X134" s="7"/>
      <c r="Y134" s="9" t="n">
        <f aca="false">IF(P134="","",IF(P134&lt;=$B$4,N(V134)+N(W134),0))</f>
        <v>0</v>
      </c>
    </row>
    <row r="135" customFormat="false" ht="15" hidden="false" customHeight="false" outlineLevel="0" collapsed="false">
      <c r="A135" s="10" t="s">
        <v>31</v>
      </c>
      <c r="B135" s="11" t="str">
        <f aca="false">IFERROR(INDEX(Summary!$B$7:$B$14,MATCH($A135,Summary!$A$7:$A$14,0)),"")</f>
        <v>TX</v>
      </c>
      <c r="C135" s="10" t="s">
        <v>31</v>
      </c>
      <c r="D135" s="10" t="n">
        <v>60</v>
      </c>
      <c r="E135" s="19" t="n">
        <v>46079</v>
      </c>
      <c r="F135" s="10" t="s">
        <v>344</v>
      </c>
      <c r="G135" s="10" t="s">
        <v>345</v>
      </c>
      <c r="H135" s="9" t="n">
        <v>1397.5</v>
      </c>
      <c r="I135" s="10"/>
      <c r="J135" s="10" t="s">
        <v>84</v>
      </c>
      <c r="K135" s="20" t="n">
        <f aca="false">IF(E135="","",($B$4-E135)/365.25)</f>
        <v>0.607802874743327</v>
      </c>
      <c r="L135" s="10" t="str">
        <f aca="false">IF(K135="","no date",IF(K135&lt;1,"0-1 yrs",IF(K135&lt;2,"1-2 yrs",IF(K135&lt;3,"2-3 yrs",IF(K135&lt;5,"3-5 yrs","5+ yrs")))))</f>
        <v>0-1 yrs</v>
      </c>
      <c r="M135" s="10" t="s">
        <v>85</v>
      </c>
      <c r="N135" s="11" t="n">
        <f aca="false">IFERROR(INDEX('State Rules'!$C$5:$C$11,MATCH($B135,'State Rules'!$A$5:$A$11,0)),"")</f>
        <v>1</v>
      </c>
      <c r="O135" s="19" t="n">
        <f aca="false">IF(OR(N135="",E135=""),"",EDATE(E135,12*N135))</f>
        <v>46444</v>
      </c>
      <c r="P135" s="19" t="n">
        <f aca="false">IF(E135="","",IFERROR(EDATE(E135,12*INDEX('State Rules'!$E$5:$E$11,MATCH($B135,'State Rules'!$A$5:$A$11,0))),""))</f>
        <v>47175</v>
      </c>
      <c r="Q135" s="10" t="str">
        <f aca="false">IF(O135="","",IFERROR(IF(O135&lt;=INDEX('State Rules'!$I$5:$I$11,MATCH($B135,'State Rules'!$A$5:$A$11,0)),"Yes","No"),""))</f>
        <v>Yes</v>
      </c>
      <c r="R135" s="10" t="str">
        <f aca="false">IF(P135="","",IFERROR(IF(P135&lt;=INDEX('State Rules'!$I$5:$I$11,MATCH($B135,'State Rules'!$A$5:$A$11,0)),"Yes","No"),""))</f>
        <v>No</v>
      </c>
      <c r="S135" s="7"/>
      <c r="T135" s="7"/>
      <c r="U135" s="21"/>
      <c r="V135" s="21"/>
      <c r="W135" s="21"/>
      <c r="X135" s="7"/>
      <c r="Y135" s="9" t="n">
        <f aca="false">IF(P135="","",IF(P135&lt;=$B$4,N(V135)+N(W135),0))</f>
        <v>0</v>
      </c>
    </row>
    <row r="136" customFormat="false" ht="15" hidden="false" customHeight="false" outlineLevel="0" collapsed="false">
      <c r="A136" s="10" t="s">
        <v>31</v>
      </c>
      <c r="B136" s="11" t="str">
        <f aca="false">IFERROR(INDEX(Summary!$B$7:$B$14,MATCH($A136,Summary!$A$7:$A$14,0)),"")</f>
        <v>TX</v>
      </c>
      <c r="C136" s="10" t="s">
        <v>31</v>
      </c>
      <c r="D136" s="10" t="n">
        <v>61</v>
      </c>
      <c r="E136" s="19" t="n">
        <v>46098</v>
      </c>
      <c r="F136" s="10" t="s">
        <v>346</v>
      </c>
      <c r="G136" s="10" t="s">
        <v>347</v>
      </c>
      <c r="H136" s="9" t="n">
        <v>750</v>
      </c>
      <c r="I136" s="10" t="s">
        <v>348</v>
      </c>
      <c r="J136" s="10" t="s">
        <v>84</v>
      </c>
      <c r="K136" s="20" t="n">
        <f aca="false">IF(E136="","",($B$4-E136)/365.25)</f>
        <v>0.555783709787817</v>
      </c>
      <c r="L136" s="10" t="str">
        <f aca="false">IF(K136="","no date",IF(K136&lt;1,"0-1 yrs",IF(K136&lt;2,"1-2 yrs",IF(K136&lt;3,"2-3 yrs",IF(K136&lt;5,"3-5 yrs","5+ yrs")))))</f>
        <v>0-1 yrs</v>
      </c>
      <c r="M136" s="10" t="s">
        <v>85</v>
      </c>
      <c r="N136" s="11" t="n">
        <f aca="false">IFERROR(INDEX('State Rules'!$C$5:$C$11,MATCH($B136,'State Rules'!$A$5:$A$11,0)),"")</f>
        <v>1</v>
      </c>
      <c r="O136" s="19" t="n">
        <f aca="false">IF(OR(N136="",E136=""),"",EDATE(E136,12*N136))</f>
        <v>46463</v>
      </c>
      <c r="P136" s="19" t="n">
        <f aca="false">IF(E136="","",IFERROR(EDATE(E136,12*INDEX('State Rules'!$E$5:$E$11,MATCH($B136,'State Rules'!$A$5:$A$11,0))),""))</f>
        <v>47194</v>
      </c>
      <c r="Q136" s="10" t="str">
        <f aca="false">IF(O136="","",IFERROR(IF(O136&lt;=INDEX('State Rules'!$I$5:$I$11,MATCH($B136,'State Rules'!$A$5:$A$11,0)),"Yes","No"),""))</f>
        <v>No</v>
      </c>
      <c r="R136" s="10" t="str">
        <f aca="false">IF(P136="","",IFERROR(IF(P136&lt;=INDEX('State Rules'!$I$5:$I$11,MATCH($B136,'State Rules'!$A$5:$A$11,0)),"Yes","No"),""))</f>
        <v>No</v>
      </c>
      <c r="S136" s="7"/>
      <c r="T136" s="7"/>
      <c r="U136" s="21"/>
      <c r="V136" s="21"/>
      <c r="W136" s="21"/>
      <c r="X136" s="7"/>
      <c r="Y136" s="9" t="n">
        <f aca="false">IF(P136="","",IF(P136&lt;=$B$4,N(V136)+N(W136),0))</f>
        <v>0</v>
      </c>
    </row>
    <row r="137" customFormat="false" ht="15" hidden="false" customHeight="false" outlineLevel="0" collapsed="false">
      <c r="A137" s="10" t="s">
        <v>31</v>
      </c>
      <c r="B137" s="11" t="str">
        <f aca="false">IFERROR(INDEX(Summary!$B$7:$B$14,MATCH($A137,Summary!$A$7:$A$14,0)),"")</f>
        <v>TX</v>
      </c>
      <c r="C137" s="10" t="s">
        <v>31</v>
      </c>
      <c r="D137" s="10" t="n">
        <v>62</v>
      </c>
      <c r="E137" s="19" t="n">
        <v>46115</v>
      </c>
      <c r="F137" s="10" t="s">
        <v>349</v>
      </c>
      <c r="G137" s="10" t="s">
        <v>350</v>
      </c>
      <c r="H137" s="9" t="n">
        <v>13189.8</v>
      </c>
      <c r="I137" s="10" t="s">
        <v>151</v>
      </c>
      <c r="J137" s="10" t="s">
        <v>84</v>
      </c>
      <c r="K137" s="20" t="n">
        <f aca="false">IF(E137="","",($B$4-E137)/365.25)</f>
        <v>0.509240246406571</v>
      </c>
      <c r="L137" s="10" t="str">
        <f aca="false">IF(K137="","no date",IF(K137&lt;1,"0-1 yrs",IF(K137&lt;2,"1-2 yrs",IF(K137&lt;3,"2-3 yrs",IF(K137&lt;5,"3-5 yrs","5+ yrs")))))</f>
        <v>0-1 yrs</v>
      </c>
      <c r="M137" s="10" t="s">
        <v>85</v>
      </c>
      <c r="N137" s="11" t="n">
        <f aca="false">IFERROR(INDEX('State Rules'!$C$5:$C$11,MATCH($B137,'State Rules'!$A$5:$A$11,0)),"")</f>
        <v>1</v>
      </c>
      <c r="O137" s="19" t="n">
        <f aca="false">IF(OR(N137="",E137=""),"",EDATE(E137,12*N137))</f>
        <v>46480</v>
      </c>
      <c r="P137" s="19" t="n">
        <f aca="false">IF(E137="","",IFERROR(EDATE(E137,12*INDEX('State Rules'!$E$5:$E$11,MATCH($B137,'State Rules'!$A$5:$A$11,0))),""))</f>
        <v>47211</v>
      </c>
      <c r="Q137" s="10" t="str">
        <f aca="false">IF(O137="","",IFERROR(IF(O137&lt;=INDEX('State Rules'!$I$5:$I$11,MATCH($B137,'State Rules'!$A$5:$A$11,0)),"Yes","No"),""))</f>
        <v>No</v>
      </c>
      <c r="R137" s="10" t="str">
        <f aca="false">IF(P137="","",IFERROR(IF(P137&lt;=INDEX('State Rules'!$I$5:$I$11,MATCH($B137,'State Rules'!$A$5:$A$11,0)),"Yes","No"),""))</f>
        <v>No</v>
      </c>
      <c r="S137" s="7"/>
      <c r="T137" s="7"/>
      <c r="U137" s="21"/>
      <c r="V137" s="21"/>
      <c r="W137" s="21"/>
      <c r="X137" s="7"/>
      <c r="Y137" s="9" t="n">
        <f aca="false">IF(P137="","",IF(P137&lt;=$B$4,N(V137)+N(W137),0))</f>
        <v>0</v>
      </c>
    </row>
    <row r="138" customFormat="false" ht="15" hidden="false" customHeight="false" outlineLevel="0" collapsed="false">
      <c r="A138" s="10" t="s">
        <v>31</v>
      </c>
      <c r="B138" s="11" t="str">
        <f aca="false">IFERROR(INDEX(Summary!$B$7:$B$14,MATCH($A138,Summary!$A$7:$A$14,0)),"")</f>
        <v>TX</v>
      </c>
      <c r="C138" s="10" t="s">
        <v>31</v>
      </c>
      <c r="D138" s="10" t="n">
        <v>63</v>
      </c>
      <c r="E138" s="19" t="n">
        <v>46141</v>
      </c>
      <c r="F138" s="10" t="s">
        <v>351</v>
      </c>
      <c r="G138" s="10" t="s">
        <v>352</v>
      </c>
      <c r="H138" s="9" t="n">
        <v>445.5</v>
      </c>
      <c r="I138" s="10" t="s">
        <v>353</v>
      </c>
      <c r="J138" s="10" t="s">
        <v>84</v>
      </c>
      <c r="K138" s="20" t="n">
        <f aca="false">IF(E138="","",($B$4-E138)/365.25)</f>
        <v>0.438056125941136</v>
      </c>
      <c r="L138" s="10" t="str">
        <f aca="false">IF(K138="","no date",IF(K138&lt;1,"0-1 yrs",IF(K138&lt;2,"1-2 yrs",IF(K138&lt;3,"2-3 yrs",IF(K138&lt;5,"3-5 yrs","5+ yrs")))))</f>
        <v>0-1 yrs</v>
      </c>
      <c r="M138" s="10" t="s">
        <v>85</v>
      </c>
      <c r="N138" s="11" t="n">
        <f aca="false">IFERROR(INDEX('State Rules'!$C$5:$C$11,MATCH($B138,'State Rules'!$A$5:$A$11,0)),"")</f>
        <v>1</v>
      </c>
      <c r="O138" s="19" t="n">
        <f aca="false">IF(OR(N138="",E138=""),"",EDATE(E138,12*N138))</f>
        <v>46506</v>
      </c>
      <c r="P138" s="19" t="n">
        <f aca="false">IF(E138="","",IFERROR(EDATE(E138,12*INDEX('State Rules'!$E$5:$E$11,MATCH($B138,'State Rules'!$A$5:$A$11,0))),""))</f>
        <v>47237</v>
      </c>
      <c r="Q138" s="10" t="str">
        <f aca="false">IF(O138="","",IFERROR(IF(O138&lt;=INDEX('State Rules'!$I$5:$I$11,MATCH($B138,'State Rules'!$A$5:$A$11,0)),"Yes","No"),""))</f>
        <v>No</v>
      </c>
      <c r="R138" s="10" t="str">
        <f aca="false">IF(P138="","",IFERROR(IF(P138&lt;=INDEX('State Rules'!$I$5:$I$11,MATCH($B138,'State Rules'!$A$5:$A$11,0)),"Yes","No"),""))</f>
        <v>No</v>
      </c>
      <c r="S138" s="7"/>
      <c r="T138" s="7"/>
      <c r="U138" s="21"/>
      <c r="V138" s="21"/>
      <c r="W138" s="21"/>
      <c r="X138" s="7"/>
      <c r="Y138" s="9" t="n">
        <f aca="false">IF(P138="","",IF(P138&lt;=$B$4,N(V138)+N(W138),0))</f>
        <v>0</v>
      </c>
    </row>
    <row r="139" customFormat="false" ht="15" hidden="false" customHeight="false" outlineLevel="0" collapsed="false">
      <c r="A139" s="10" t="s">
        <v>31</v>
      </c>
      <c r="B139" s="11" t="str">
        <f aca="false">IFERROR(INDEX(Summary!$B$7:$B$14,MATCH($A139,Summary!$A$7:$A$14,0)),"")</f>
        <v>TX</v>
      </c>
      <c r="C139" s="10" t="s">
        <v>31</v>
      </c>
      <c r="D139" s="10" t="n">
        <v>64</v>
      </c>
      <c r="E139" s="19" t="n">
        <v>46143</v>
      </c>
      <c r="F139" s="10" t="s">
        <v>354</v>
      </c>
      <c r="G139" s="10"/>
      <c r="H139" s="9" t="n">
        <v>1100</v>
      </c>
      <c r="I139" s="10" t="s">
        <v>355</v>
      </c>
      <c r="J139" s="10" t="s">
        <v>84</v>
      </c>
      <c r="K139" s="20" t="n">
        <f aca="false">IF(E139="","",($B$4-E139)/365.25)</f>
        <v>0.432580424366872</v>
      </c>
      <c r="L139" s="10" t="str">
        <f aca="false">IF(K139="","no date",IF(K139&lt;1,"0-1 yrs",IF(K139&lt;2,"1-2 yrs",IF(K139&lt;3,"2-3 yrs",IF(K139&lt;5,"3-5 yrs","5+ yrs")))))</f>
        <v>0-1 yrs</v>
      </c>
      <c r="M139" s="10" t="s">
        <v>85</v>
      </c>
      <c r="N139" s="11" t="n">
        <f aca="false">IFERROR(INDEX('State Rules'!$C$5:$C$11,MATCH($B139,'State Rules'!$A$5:$A$11,0)),"")</f>
        <v>1</v>
      </c>
      <c r="O139" s="19" t="n">
        <f aca="false">IF(OR(N139="",E139=""),"",EDATE(E139,12*N139))</f>
        <v>46508</v>
      </c>
      <c r="P139" s="19" t="n">
        <f aca="false">IF(E139="","",IFERROR(EDATE(E139,12*INDEX('State Rules'!$E$5:$E$11,MATCH($B139,'State Rules'!$A$5:$A$11,0))),""))</f>
        <v>47239</v>
      </c>
      <c r="Q139" s="10" t="str">
        <f aca="false">IF(O139="","",IFERROR(IF(O139&lt;=INDEX('State Rules'!$I$5:$I$11,MATCH($B139,'State Rules'!$A$5:$A$11,0)),"Yes","No"),""))</f>
        <v>No</v>
      </c>
      <c r="R139" s="10" t="str">
        <f aca="false">IF(P139="","",IFERROR(IF(P139&lt;=INDEX('State Rules'!$I$5:$I$11,MATCH($B139,'State Rules'!$A$5:$A$11,0)),"Yes","No"),""))</f>
        <v>No</v>
      </c>
      <c r="S139" s="7"/>
      <c r="T139" s="7"/>
      <c r="U139" s="21"/>
      <c r="V139" s="21"/>
      <c r="W139" s="21"/>
      <c r="X139" s="7"/>
      <c r="Y139" s="9" t="n">
        <f aca="false">IF(P139="","",IF(P139&lt;=$B$4,N(V139)+N(W139),0))</f>
        <v>0</v>
      </c>
    </row>
    <row r="140" customFormat="false" ht="15" hidden="false" customHeight="false" outlineLevel="0" collapsed="false">
      <c r="A140" s="10" t="s">
        <v>31</v>
      </c>
      <c r="B140" s="11" t="str">
        <f aca="false">IFERROR(INDEX(Summary!$B$7:$B$14,MATCH($A140,Summary!$A$7:$A$14,0)),"")</f>
        <v>TX</v>
      </c>
      <c r="C140" s="10" t="s">
        <v>31</v>
      </c>
      <c r="D140" s="10" t="n">
        <v>65</v>
      </c>
      <c r="E140" s="19" t="n">
        <v>46175</v>
      </c>
      <c r="F140" s="10" t="s">
        <v>356</v>
      </c>
      <c r="G140" s="10" t="s">
        <v>357</v>
      </c>
      <c r="H140" s="9" t="n">
        <v>600</v>
      </c>
      <c r="I140" s="10" t="s">
        <v>358</v>
      </c>
      <c r="J140" s="10" t="s">
        <v>84</v>
      </c>
      <c r="K140" s="20" t="n">
        <f aca="false">IF(E140="","",($B$4-E140)/365.25)</f>
        <v>0.344969199178645</v>
      </c>
      <c r="L140" s="10" t="str">
        <f aca="false">IF(K140="","no date",IF(K140&lt;1,"0-1 yrs",IF(K140&lt;2,"1-2 yrs",IF(K140&lt;3,"2-3 yrs",IF(K140&lt;5,"3-5 yrs","5+ yrs")))))</f>
        <v>0-1 yrs</v>
      </c>
      <c r="M140" s="10" t="s">
        <v>85</v>
      </c>
      <c r="N140" s="11" t="n">
        <f aca="false">IFERROR(INDEX('State Rules'!$C$5:$C$11,MATCH($B140,'State Rules'!$A$5:$A$11,0)),"")</f>
        <v>1</v>
      </c>
      <c r="O140" s="19" t="n">
        <f aca="false">IF(OR(N140="",E140=""),"",EDATE(E140,12*N140))</f>
        <v>46540</v>
      </c>
      <c r="P140" s="19" t="n">
        <f aca="false">IF(E140="","",IFERROR(EDATE(E140,12*INDEX('State Rules'!$E$5:$E$11,MATCH($B140,'State Rules'!$A$5:$A$11,0))),""))</f>
        <v>47271</v>
      </c>
      <c r="Q140" s="10" t="str">
        <f aca="false">IF(O140="","",IFERROR(IF(O140&lt;=INDEX('State Rules'!$I$5:$I$11,MATCH($B140,'State Rules'!$A$5:$A$11,0)),"Yes","No"),""))</f>
        <v>No</v>
      </c>
      <c r="R140" s="10" t="str">
        <f aca="false">IF(P140="","",IFERROR(IF(P140&lt;=INDEX('State Rules'!$I$5:$I$11,MATCH($B140,'State Rules'!$A$5:$A$11,0)),"Yes","No"),""))</f>
        <v>No</v>
      </c>
      <c r="S140" s="7"/>
      <c r="T140" s="7"/>
      <c r="U140" s="21"/>
      <c r="V140" s="21"/>
      <c r="W140" s="21"/>
      <c r="X140" s="7"/>
      <c r="Y140" s="9" t="n">
        <f aca="false">IF(P140="","",IF(P140&lt;=$B$4,N(V140)+N(W140),0))</f>
        <v>0</v>
      </c>
    </row>
    <row r="141" customFormat="false" ht="15" hidden="false" customHeight="false" outlineLevel="0" collapsed="false">
      <c r="A141" s="10" t="s">
        <v>31</v>
      </c>
      <c r="B141" s="11" t="str">
        <f aca="false">IFERROR(INDEX(Summary!$B$7:$B$14,MATCH($A141,Summary!$A$7:$A$14,0)),"")</f>
        <v>TX</v>
      </c>
      <c r="C141" s="10" t="s">
        <v>31</v>
      </c>
      <c r="D141" s="10" t="n">
        <v>66</v>
      </c>
      <c r="E141" s="19" t="n">
        <v>46175</v>
      </c>
      <c r="F141" s="10" t="s">
        <v>359</v>
      </c>
      <c r="G141" s="10" t="s">
        <v>360</v>
      </c>
      <c r="H141" s="9" t="n">
        <v>600</v>
      </c>
      <c r="I141" s="10" t="s">
        <v>358</v>
      </c>
      <c r="J141" s="10" t="s">
        <v>84</v>
      </c>
      <c r="K141" s="20" t="n">
        <f aca="false">IF(E141="","",($B$4-E141)/365.25)</f>
        <v>0.344969199178645</v>
      </c>
      <c r="L141" s="10" t="str">
        <f aca="false">IF(K141="","no date",IF(K141&lt;1,"0-1 yrs",IF(K141&lt;2,"1-2 yrs",IF(K141&lt;3,"2-3 yrs",IF(K141&lt;5,"3-5 yrs","5+ yrs")))))</f>
        <v>0-1 yrs</v>
      </c>
      <c r="M141" s="10" t="s">
        <v>85</v>
      </c>
      <c r="N141" s="11" t="n">
        <f aca="false">IFERROR(INDEX('State Rules'!$C$5:$C$11,MATCH($B141,'State Rules'!$A$5:$A$11,0)),"")</f>
        <v>1</v>
      </c>
      <c r="O141" s="19" t="n">
        <f aca="false">IF(OR(N141="",E141=""),"",EDATE(E141,12*N141))</f>
        <v>46540</v>
      </c>
      <c r="P141" s="19" t="n">
        <f aca="false">IF(E141="","",IFERROR(EDATE(E141,12*INDEX('State Rules'!$E$5:$E$11,MATCH($B141,'State Rules'!$A$5:$A$11,0))),""))</f>
        <v>47271</v>
      </c>
      <c r="Q141" s="10" t="str">
        <f aca="false">IF(O141="","",IFERROR(IF(O141&lt;=INDEX('State Rules'!$I$5:$I$11,MATCH($B141,'State Rules'!$A$5:$A$11,0)),"Yes","No"),""))</f>
        <v>No</v>
      </c>
      <c r="R141" s="10" t="str">
        <f aca="false">IF(P141="","",IFERROR(IF(P141&lt;=INDEX('State Rules'!$I$5:$I$11,MATCH($B141,'State Rules'!$A$5:$A$11,0)),"Yes","No"),""))</f>
        <v>No</v>
      </c>
      <c r="S141" s="7"/>
      <c r="T141" s="7"/>
      <c r="U141" s="21"/>
      <c r="V141" s="21"/>
      <c r="W141" s="21"/>
      <c r="X141" s="7"/>
      <c r="Y141" s="9" t="n">
        <f aca="false">IF(P141="","",IF(P141&lt;=$B$4,N(V141)+N(W141),0))</f>
        <v>0</v>
      </c>
    </row>
    <row r="142" customFormat="false" ht="15" hidden="false" customHeight="false" outlineLevel="0" collapsed="false">
      <c r="A142" s="10" t="s">
        <v>31</v>
      </c>
      <c r="B142" s="11" t="str">
        <f aca="false">IFERROR(INDEX(Summary!$B$7:$B$14,MATCH($A142,Summary!$A$7:$A$14,0)),"")</f>
        <v>TX</v>
      </c>
      <c r="C142" s="10" t="s">
        <v>31</v>
      </c>
      <c r="D142" s="10" t="n">
        <v>67</v>
      </c>
      <c r="E142" s="19" t="n">
        <v>46190</v>
      </c>
      <c r="F142" s="10" t="s">
        <v>361</v>
      </c>
      <c r="G142" s="10" t="s">
        <v>362</v>
      </c>
      <c r="H142" s="9" t="n">
        <v>10236.2</v>
      </c>
      <c r="I142" s="10" t="s">
        <v>363</v>
      </c>
      <c r="J142" s="10" t="s">
        <v>84</v>
      </c>
      <c r="K142" s="20" t="n">
        <f aca="false">IF(E142="","",($B$4-E142)/365.25)</f>
        <v>0.303901437371663</v>
      </c>
      <c r="L142" s="10" t="str">
        <f aca="false">IF(K142="","no date",IF(K142&lt;1,"0-1 yrs",IF(K142&lt;2,"1-2 yrs",IF(K142&lt;3,"2-3 yrs",IF(K142&lt;5,"3-5 yrs","5+ yrs")))))</f>
        <v>0-1 yrs</v>
      </c>
      <c r="M142" s="10" t="s">
        <v>85</v>
      </c>
      <c r="N142" s="11" t="n">
        <f aca="false">IFERROR(INDEX('State Rules'!$C$5:$C$11,MATCH($B142,'State Rules'!$A$5:$A$11,0)),"")</f>
        <v>1</v>
      </c>
      <c r="O142" s="19" t="n">
        <f aca="false">IF(OR(N142="",E142=""),"",EDATE(E142,12*N142))</f>
        <v>46555</v>
      </c>
      <c r="P142" s="19" t="n">
        <f aca="false">IF(E142="","",IFERROR(EDATE(E142,12*INDEX('State Rules'!$E$5:$E$11,MATCH($B142,'State Rules'!$A$5:$A$11,0))),""))</f>
        <v>47286</v>
      </c>
      <c r="Q142" s="10" t="str">
        <f aca="false">IF(O142="","",IFERROR(IF(O142&lt;=INDEX('State Rules'!$I$5:$I$11,MATCH($B142,'State Rules'!$A$5:$A$11,0)),"Yes","No"),""))</f>
        <v>No</v>
      </c>
      <c r="R142" s="10" t="str">
        <f aca="false">IF(P142="","",IFERROR(IF(P142&lt;=INDEX('State Rules'!$I$5:$I$11,MATCH($B142,'State Rules'!$A$5:$A$11,0)),"Yes","No"),""))</f>
        <v>No</v>
      </c>
      <c r="S142" s="7"/>
      <c r="T142" s="7"/>
      <c r="U142" s="21"/>
      <c r="V142" s="21"/>
      <c r="W142" s="21"/>
      <c r="X142" s="7"/>
      <c r="Y142" s="9" t="n">
        <f aca="false">IF(P142="","",IF(P142&lt;=$B$4,N(V142)+N(W142),0))</f>
        <v>0</v>
      </c>
    </row>
    <row r="143" customFormat="false" ht="15" hidden="false" customHeight="false" outlineLevel="0" collapsed="false">
      <c r="A143" s="10" t="s">
        <v>31</v>
      </c>
      <c r="B143" s="11" t="str">
        <f aca="false">IFERROR(INDEX(Summary!$B$7:$B$14,MATCH($A143,Summary!$A$7:$A$14,0)),"")</f>
        <v>TX</v>
      </c>
      <c r="C143" s="10" t="s">
        <v>31</v>
      </c>
      <c r="D143" s="10" t="n">
        <v>68</v>
      </c>
      <c r="E143" s="19" t="n">
        <v>46197</v>
      </c>
      <c r="F143" s="10"/>
      <c r="G143" s="10" t="s">
        <v>364</v>
      </c>
      <c r="H143" s="9" t="n">
        <v>600</v>
      </c>
      <c r="I143" s="10" t="s">
        <v>365</v>
      </c>
      <c r="J143" s="10" t="s">
        <v>84</v>
      </c>
      <c r="K143" s="20" t="n">
        <f aca="false">IF(E143="","",($B$4-E143)/365.25)</f>
        <v>0.284736481861739</v>
      </c>
      <c r="L143" s="10" t="str">
        <f aca="false">IF(K143="","no date",IF(K143&lt;1,"0-1 yrs",IF(K143&lt;2,"1-2 yrs",IF(K143&lt;3,"2-3 yrs",IF(K143&lt;5,"3-5 yrs","5+ yrs")))))</f>
        <v>0-1 yrs</v>
      </c>
      <c r="M143" s="22" t="s">
        <v>96</v>
      </c>
      <c r="N143" s="11" t="n">
        <f aca="false">IFERROR(INDEX('State Rules'!$C$5:$C$11,MATCH($B143,'State Rules'!$A$5:$A$11,0)),"")</f>
        <v>1</v>
      </c>
      <c r="O143" s="19" t="n">
        <f aca="false">IF(OR(N143="",E143=""),"",EDATE(E143,12*N143))</f>
        <v>46562</v>
      </c>
      <c r="P143" s="19" t="n">
        <f aca="false">IF(E143="","",IFERROR(EDATE(E143,12*INDEX('State Rules'!$E$5:$E$11,MATCH($B143,'State Rules'!$A$5:$A$11,0))),""))</f>
        <v>47293</v>
      </c>
      <c r="Q143" s="10" t="str">
        <f aca="false">IF(O143="","",IFERROR(IF(O143&lt;=INDEX('State Rules'!$I$5:$I$11,MATCH($B143,'State Rules'!$A$5:$A$11,0)),"Yes","No"),""))</f>
        <v>No</v>
      </c>
      <c r="R143" s="10" t="str">
        <f aca="false">IF(P143="","",IFERROR(IF(P143&lt;=INDEX('State Rules'!$I$5:$I$11,MATCH($B143,'State Rules'!$A$5:$A$11,0)),"Yes","No"),""))</f>
        <v>No</v>
      </c>
      <c r="S143" s="7"/>
      <c r="T143" s="7"/>
      <c r="U143" s="21"/>
      <c r="V143" s="21"/>
      <c r="W143" s="21"/>
      <c r="X143" s="7"/>
      <c r="Y143" s="9" t="n">
        <f aca="false">IF(P143="","",IF(P143&lt;=$B$4,N(V143)+N(W143),0))</f>
        <v>0</v>
      </c>
    </row>
    <row r="144" customFormat="false" ht="15" hidden="false" customHeight="false" outlineLevel="0" collapsed="false">
      <c r="A144" s="10" t="s">
        <v>31</v>
      </c>
      <c r="B144" s="11" t="str">
        <f aca="false">IFERROR(INDEX(Summary!$B$7:$B$14,MATCH($A144,Summary!$A$7:$A$14,0)),"")</f>
        <v>TX</v>
      </c>
      <c r="C144" s="10" t="s">
        <v>31</v>
      </c>
      <c r="D144" s="10" t="n">
        <v>69</v>
      </c>
      <c r="E144" s="19" t="n">
        <v>46202</v>
      </c>
      <c r="F144" s="10" t="s">
        <v>366</v>
      </c>
      <c r="G144" s="10" t="s">
        <v>367</v>
      </c>
      <c r="H144" s="9" t="n">
        <v>1600</v>
      </c>
      <c r="I144" s="10"/>
      <c r="J144" s="10" t="s">
        <v>84</v>
      </c>
      <c r="K144" s="20" t="n">
        <f aca="false">IF(E144="","",($B$4-E144)/365.25)</f>
        <v>0.271047227926078</v>
      </c>
      <c r="L144" s="10" t="str">
        <f aca="false">IF(K144="","no date",IF(K144&lt;1,"0-1 yrs",IF(K144&lt;2,"1-2 yrs",IF(K144&lt;3,"2-3 yrs",IF(K144&lt;5,"3-5 yrs","5+ yrs")))))</f>
        <v>0-1 yrs</v>
      </c>
      <c r="M144" s="10" t="s">
        <v>85</v>
      </c>
      <c r="N144" s="11" t="n">
        <f aca="false">IFERROR(INDEX('State Rules'!$C$5:$C$11,MATCH($B144,'State Rules'!$A$5:$A$11,0)),"")</f>
        <v>1</v>
      </c>
      <c r="O144" s="19" t="n">
        <f aca="false">IF(OR(N144="",E144=""),"",EDATE(E144,12*N144))</f>
        <v>46567</v>
      </c>
      <c r="P144" s="19" t="n">
        <f aca="false">IF(E144="","",IFERROR(EDATE(E144,12*INDEX('State Rules'!$E$5:$E$11,MATCH($B144,'State Rules'!$A$5:$A$11,0))),""))</f>
        <v>47298</v>
      </c>
      <c r="Q144" s="10" t="str">
        <f aca="false">IF(O144="","",IFERROR(IF(O144&lt;=INDEX('State Rules'!$I$5:$I$11,MATCH($B144,'State Rules'!$A$5:$A$11,0)),"Yes","No"),""))</f>
        <v>No</v>
      </c>
      <c r="R144" s="10" t="str">
        <f aca="false">IF(P144="","",IFERROR(IF(P144&lt;=INDEX('State Rules'!$I$5:$I$11,MATCH($B144,'State Rules'!$A$5:$A$11,0)),"Yes","No"),""))</f>
        <v>No</v>
      </c>
      <c r="S144" s="7"/>
      <c r="T144" s="7"/>
      <c r="U144" s="21"/>
      <c r="V144" s="21"/>
      <c r="W144" s="21"/>
      <c r="X144" s="7"/>
      <c r="Y144" s="9" t="n">
        <f aca="false">IF(P144="","",IF(P144&lt;=$B$4,N(V144)+N(W144),0))</f>
        <v>0</v>
      </c>
    </row>
    <row r="145" customFormat="false" ht="15" hidden="false" customHeight="false" outlineLevel="0" collapsed="false">
      <c r="A145" s="10" t="s">
        <v>31</v>
      </c>
      <c r="B145" s="11" t="str">
        <f aca="false">IFERROR(INDEX(Summary!$B$7:$B$14,MATCH($A145,Summary!$A$7:$A$14,0)),"")</f>
        <v>TX</v>
      </c>
      <c r="C145" s="10" t="s">
        <v>31</v>
      </c>
      <c r="D145" s="10" t="n">
        <v>70</v>
      </c>
      <c r="E145" s="19" t="n">
        <v>46245</v>
      </c>
      <c r="F145" s="10" t="s">
        <v>368</v>
      </c>
      <c r="G145" s="10" t="s">
        <v>369</v>
      </c>
      <c r="H145" s="9" t="n">
        <v>2950</v>
      </c>
      <c r="I145" s="10"/>
      <c r="J145" s="10" t="s">
        <v>84</v>
      </c>
      <c r="K145" s="20" t="n">
        <f aca="false">IF(E145="","",($B$4-E145)/365.25)</f>
        <v>0.153319644079398</v>
      </c>
      <c r="L145" s="10" t="str">
        <f aca="false">IF(K145="","no date",IF(K145&lt;1,"0-1 yrs",IF(K145&lt;2,"1-2 yrs",IF(K145&lt;3,"2-3 yrs",IF(K145&lt;5,"3-5 yrs","5+ yrs")))))</f>
        <v>0-1 yrs</v>
      </c>
      <c r="M145" s="10" t="s">
        <v>85</v>
      </c>
      <c r="N145" s="11" t="n">
        <f aca="false">IFERROR(INDEX('State Rules'!$C$5:$C$11,MATCH($B145,'State Rules'!$A$5:$A$11,0)),"")</f>
        <v>1</v>
      </c>
      <c r="O145" s="19" t="n">
        <f aca="false">IF(OR(N145="",E145=""),"",EDATE(E145,12*N145))</f>
        <v>46610</v>
      </c>
      <c r="P145" s="19" t="n">
        <f aca="false">IF(E145="","",IFERROR(EDATE(E145,12*INDEX('State Rules'!$E$5:$E$11,MATCH($B145,'State Rules'!$A$5:$A$11,0))),""))</f>
        <v>47341</v>
      </c>
      <c r="Q145" s="10" t="str">
        <f aca="false">IF(O145="","",IFERROR(IF(O145&lt;=INDEX('State Rules'!$I$5:$I$11,MATCH($B145,'State Rules'!$A$5:$A$11,0)),"Yes","No"),""))</f>
        <v>No</v>
      </c>
      <c r="R145" s="10" t="str">
        <f aca="false">IF(P145="","",IFERROR(IF(P145&lt;=INDEX('State Rules'!$I$5:$I$11,MATCH($B145,'State Rules'!$A$5:$A$11,0)),"Yes","No"),""))</f>
        <v>No</v>
      </c>
      <c r="S145" s="7"/>
      <c r="T145" s="7"/>
      <c r="U145" s="21"/>
      <c r="V145" s="21"/>
      <c r="W145" s="21"/>
      <c r="X145" s="7"/>
      <c r="Y145" s="9" t="n">
        <f aca="false">IF(P145="","",IF(P145&lt;=$B$4,N(V145)+N(W145),0))</f>
        <v>0</v>
      </c>
    </row>
    <row r="146" customFormat="false" ht="15" hidden="false" customHeight="false" outlineLevel="0" collapsed="false">
      <c r="A146" s="10" t="s">
        <v>31</v>
      </c>
      <c r="B146" s="11" t="str">
        <f aca="false">IFERROR(INDEX(Summary!$B$7:$B$14,MATCH($A146,Summary!$A$7:$A$14,0)),"")</f>
        <v>TX</v>
      </c>
      <c r="C146" s="10" t="s">
        <v>31</v>
      </c>
      <c r="D146" s="10" t="n">
        <v>71</v>
      </c>
      <c r="E146" s="19" t="n">
        <v>46258</v>
      </c>
      <c r="F146" s="10" t="s">
        <v>370</v>
      </c>
      <c r="G146" s="10" t="s">
        <v>371</v>
      </c>
      <c r="H146" s="9" t="n">
        <v>855</v>
      </c>
      <c r="I146" s="10"/>
      <c r="J146" s="10" t="s">
        <v>84</v>
      </c>
      <c r="K146" s="20" t="n">
        <f aca="false">IF(E146="","",($B$4-E146)/365.25)</f>
        <v>0.11772758384668</v>
      </c>
      <c r="L146" s="10" t="str">
        <f aca="false">IF(K146="","no date",IF(K146&lt;1,"0-1 yrs",IF(K146&lt;2,"1-2 yrs",IF(K146&lt;3,"2-3 yrs",IF(K146&lt;5,"3-5 yrs","5+ yrs")))))</f>
        <v>0-1 yrs</v>
      </c>
      <c r="M146" s="10" t="s">
        <v>85</v>
      </c>
      <c r="N146" s="11" t="n">
        <f aca="false">IFERROR(INDEX('State Rules'!$C$5:$C$11,MATCH($B146,'State Rules'!$A$5:$A$11,0)),"")</f>
        <v>1</v>
      </c>
      <c r="O146" s="19" t="n">
        <f aca="false">IF(OR(N146="",E146=""),"",EDATE(E146,12*N146))</f>
        <v>46623</v>
      </c>
      <c r="P146" s="19" t="n">
        <f aca="false">IF(E146="","",IFERROR(EDATE(E146,12*INDEX('State Rules'!$E$5:$E$11,MATCH($B146,'State Rules'!$A$5:$A$11,0))),""))</f>
        <v>47354</v>
      </c>
      <c r="Q146" s="10" t="str">
        <f aca="false">IF(O146="","",IFERROR(IF(O146&lt;=INDEX('State Rules'!$I$5:$I$11,MATCH($B146,'State Rules'!$A$5:$A$11,0)),"Yes","No"),""))</f>
        <v>No</v>
      </c>
      <c r="R146" s="10" t="str">
        <f aca="false">IF(P146="","",IFERROR(IF(P146&lt;=INDEX('State Rules'!$I$5:$I$11,MATCH($B146,'State Rules'!$A$5:$A$11,0)),"Yes","No"),""))</f>
        <v>No</v>
      </c>
      <c r="S146" s="7"/>
      <c r="T146" s="7"/>
      <c r="U146" s="21"/>
      <c r="V146" s="21"/>
      <c r="W146" s="21"/>
      <c r="X146" s="7"/>
      <c r="Y146" s="9" t="n">
        <f aca="false">IF(P146="","",IF(P146&lt;=$B$4,N(V146)+N(W146),0))</f>
        <v>0</v>
      </c>
    </row>
    <row r="147" customFormat="false" ht="15" hidden="false" customHeight="false" outlineLevel="0" collapsed="false">
      <c r="A147" s="10" t="s">
        <v>36</v>
      </c>
      <c r="B147" s="11" t="str">
        <f aca="false">IFERROR(INDEX(Summary!$B$7:$B$14,MATCH($A147,Summary!$A$7:$A$14,0)),"")</f>
        <v>PA</v>
      </c>
      <c r="C147" s="10" t="s">
        <v>36</v>
      </c>
      <c r="D147" s="10" t="n">
        <v>22</v>
      </c>
      <c r="E147" s="19" t="n">
        <v>45175</v>
      </c>
      <c r="F147" s="10" t="s">
        <v>372</v>
      </c>
      <c r="G147" s="10"/>
      <c r="H147" s="9" t="n">
        <v>419.35</v>
      </c>
      <c r="I147" s="10" t="s">
        <v>373</v>
      </c>
      <c r="J147" s="10" t="s">
        <v>84</v>
      </c>
      <c r="K147" s="20" t="n">
        <f aca="false">IF(E147="","",($B$4-E147)/365.25)</f>
        <v>3.08281998631075</v>
      </c>
      <c r="L147" s="10" t="str">
        <f aca="false">IF(K147="","no date",IF(K147&lt;1,"0-1 yrs",IF(K147&lt;2,"1-2 yrs",IF(K147&lt;3,"2-3 yrs",IF(K147&lt;5,"3-5 yrs","5+ yrs")))))</f>
        <v>3-5 yrs</v>
      </c>
      <c r="M147" s="10" t="s">
        <v>85</v>
      </c>
      <c r="N147" s="11" t="n">
        <f aca="false">IFERROR(INDEX('State Rules'!$C$5:$C$11,MATCH($B147,'State Rules'!$A$5:$A$11,0)),"")</f>
        <v>2</v>
      </c>
      <c r="O147" s="19" t="n">
        <f aca="false">IF(OR(N147="",E147=""),"",EDATE(E147,12*N147))</f>
        <v>45906</v>
      </c>
      <c r="P147" s="19" t="n">
        <f aca="false">IF(E147="","",IFERROR(EDATE(E147,12*INDEX('State Rules'!$E$5:$E$11,MATCH($B147,'State Rules'!$A$5:$A$11,0))),""))</f>
        <v>46271</v>
      </c>
      <c r="Q147" s="10" t="str">
        <f aca="false">IF(O147="","",IFERROR(IF(O147&lt;=INDEX('State Rules'!$I$5:$I$11,MATCH($B147,'State Rules'!$A$5:$A$11,0)),"Yes","No"),""))</f>
        <v>Yes</v>
      </c>
      <c r="R147" s="10" t="str">
        <f aca="false">IF(P147="","",IFERROR(IF(P147&lt;=INDEX('State Rules'!$I$5:$I$11,MATCH($B147,'State Rules'!$A$5:$A$11,0)),"Yes","No"),""))</f>
        <v>Yes</v>
      </c>
      <c r="S147" s="7"/>
      <c r="T147" s="7"/>
      <c r="U147" s="21"/>
      <c r="V147" s="21"/>
      <c r="W147" s="21"/>
      <c r="X147" s="7"/>
      <c r="Y147" s="9" t="n">
        <f aca="false">IF(P147="","",IF(P147&lt;=$B$4,N(V147)+N(W147),0))</f>
        <v>0</v>
      </c>
    </row>
    <row r="148" customFormat="false" ht="15" hidden="false" customHeight="false" outlineLevel="0" collapsed="false">
      <c r="A148" s="10" t="s">
        <v>36</v>
      </c>
      <c r="B148" s="11" t="str">
        <f aca="false">IFERROR(INDEX(Summary!$B$7:$B$14,MATCH($A148,Summary!$A$7:$A$14,0)),"")</f>
        <v>PA</v>
      </c>
      <c r="C148" s="10" t="s">
        <v>36</v>
      </c>
      <c r="D148" s="10" t="n">
        <v>23</v>
      </c>
      <c r="E148" s="19" t="n">
        <v>45295</v>
      </c>
      <c r="F148" s="10" t="s">
        <v>374</v>
      </c>
      <c r="G148" s="10"/>
      <c r="H148" s="9" t="n">
        <v>495</v>
      </c>
      <c r="I148" s="10" t="s">
        <v>375</v>
      </c>
      <c r="J148" s="10" t="s">
        <v>84</v>
      </c>
      <c r="K148" s="20" t="n">
        <f aca="false">IF(E148="","",($B$4-E148)/365.25)</f>
        <v>2.75427789185489</v>
      </c>
      <c r="L148" s="10" t="str">
        <f aca="false">IF(K148="","no date",IF(K148&lt;1,"0-1 yrs",IF(K148&lt;2,"1-2 yrs",IF(K148&lt;3,"2-3 yrs",IF(K148&lt;5,"3-5 yrs","5+ yrs")))))</f>
        <v>2-3 yrs</v>
      </c>
      <c r="M148" s="10" t="s">
        <v>123</v>
      </c>
      <c r="N148" s="11" t="n">
        <f aca="false">IFERROR(INDEX('State Rules'!$C$5:$C$11,MATCH($B148,'State Rules'!$A$5:$A$11,0)),"")</f>
        <v>2</v>
      </c>
      <c r="O148" s="19" t="n">
        <f aca="false">IF(OR(N148="",E148=""),"",EDATE(E148,12*N148))</f>
        <v>46026</v>
      </c>
      <c r="P148" s="19" t="n">
        <f aca="false">IF(E148="","",IFERROR(EDATE(E148,12*INDEX('State Rules'!$E$5:$E$11,MATCH($B148,'State Rules'!$A$5:$A$11,0))),""))</f>
        <v>46391</v>
      </c>
      <c r="Q148" s="10" t="str">
        <f aca="false">IF(O148="","",IFERROR(IF(O148&lt;=INDEX('State Rules'!$I$5:$I$11,MATCH($B148,'State Rules'!$A$5:$A$11,0)),"Yes","No"),""))</f>
        <v>Yes</v>
      </c>
      <c r="R148" s="10" t="str">
        <f aca="false">IF(P148="","",IFERROR(IF(P148&lt;=INDEX('State Rules'!$I$5:$I$11,MATCH($B148,'State Rules'!$A$5:$A$11,0)),"Yes","No"),""))</f>
        <v>No</v>
      </c>
      <c r="S148" s="7"/>
      <c r="T148" s="7"/>
      <c r="U148" s="21"/>
      <c r="V148" s="21"/>
      <c r="W148" s="21"/>
      <c r="X148" s="7"/>
      <c r="Y148" s="9" t="n">
        <f aca="false">IF(P148="","",IF(P148&lt;=$B$4,N(V148)+N(W148),0))</f>
        <v>0</v>
      </c>
    </row>
    <row r="149" customFormat="false" ht="15" hidden="false" customHeight="false" outlineLevel="0" collapsed="false">
      <c r="A149" s="10" t="s">
        <v>36</v>
      </c>
      <c r="B149" s="11" t="str">
        <f aca="false">IFERROR(INDEX(Summary!$B$7:$B$14,MATCH($A149,Summary!$A$7:$A$14,0)),"")</f>
        <v>PA</v>
      </c>
      <c r="C149" s="10" t="s">
        <v>36</v>
      </c>
      <c r="D149" s="10" t="n">
        <v>24</v>
      </c>
      <c r="E149" s="19" t="n">
        <v>45295</v>
      </c>
      <c r="F149" s="10" t="s">
        <v>376</v>
      </c>
      <c r="G149" s="10"/>
      <c r="H149" s="9" t="n">
        <v>4410</v>
      </c>
      <c r="I149" s="10" t="s">
        <v>375</v>
      </c>
      <c r="J149" s="10" t="s">
        <v>84</v>
      </c>
      <c r="K149" s="20" t="n">
        <f aca="false">IF(E149="","",($B$4-E149)/365.25)</f>
        <v>2.75427789185489</v>
      </c>
      <c r="L149" s="10" t="str">
        <f aca="false">IF(K149="","no date",IF(K149&lt;1,"0-1 yrs",IF(K149&lt;2,"1-2 yrs",IF(K149&lt;3,"2-3 yrs",IF(K149&lt;5,"3-5 yrs","5+ yrs")))))</f>
        <v>2-3 yrs</v>
      </c>
      <c r="M149" s="10" t="s">
        <v>85</v>
      </c>
      <c r="N149" s="11" t="n">
        <f aca="false">IFERROR(INDEX('State Rules'!$C$5:$C$11,MATCH($B149,'State Rules'!$A$5:$A$11,0)),"")</f>
        <v>2</v>
      </c>
      <c r="O149" s="19" t="n">
        <f aca="false">IF(OR(N149="",E149=""),"",EDATE(E149,12*N149))</f>
        <v>46026</v>
      </c>
      <c r="P149" s="19" t="n">
        <f aca="false">IF(E149="","",IFERROR(EDATE(E149,12*INDEX('State Rules'!$E$5:$E$11,MATCH($B149,'State Rules'!$A$5:$A$11,0))),""))</f>
        <v>46391</v>
      </c>
      <c r="Q149" s="10" t="str">
        <f aca="false">IF(O149="","",IFERROR(IF(O149&lt;=INDEX('State Rules'!$I$5:$I$11,MATCH($B149,'State Rules'!$A$5:$A$11,0)),"Yes","No"),""))</f>
        <v>Yes</v>
      </c>
      <c r="R149" s="10" t="str">
        <f aca="false">IF(P149="","",IFERROR(IF(P149&lt;=INDEX('State Rules'!$I$5:$I$11,MATCH($B149,'State Rules'!$A$5:$A$11,0)),"Yes","No"),""))</f>
        <v>No</v>
      </c>
      <c r="S149" s="7"/>
      <c r="T149" s="7"/>
      <c r="U149" s="21"/>
      <c r="V149" s="21"/>
      <c r="W149" s="21"/>
      <c r="X149" s="7"/>
      <c r="Y149" s="9" t="n">
        <f aca="false">IF(P149="","",IF(P149&lt;=$B$4,N(V149)+N(W149),0))</f>
        <v>0</v>
      </c>
    </row>
    <row r="150" customFormat="false" ht="15" hidden="false" customHeight="false" outlineLevel="0" collapsed="false">
      <c r="A150" s="10" t="s">
        <v>36</v>
      </c>
      <c r="B150" s="11" t="str">
        <f aca="false">IFERROR(INDEX(Summary!$B$7:$B$14,MATCH($A150,Summary!$A$7:$A$14,0)),"")</f>
        <v>PA</v>
      </c>
      <c r="C150" s="10" t="s">
        <v>36</v>
      </c>
      <c r="D150" s="10" t="n">
        <v>25</v>
      </c>
      <c r="E150" s="19" t="n">
        <v>45453</v>
      </c>
      <c r="F150" s="10" t="s">
        <v>377</v>
      </c>
      <c r="G150" s="10"/>
      <c r="H150" s="9" t="n">
        <v>500</v>
      </c>
      <c r="I150" s="10" t="s">
        <v>378</v>
      </c>
      <c r="J150" s="10" t="s">
        <v>84</v>
      </c>
      <c r="K150" s="20" t="n">
        <f aca="false">IF(E150="","",($B$4-E150)/365.25)</f>
        <v>2.32169746748802</v>
      </c>
      <c r="L150" s="10" t="str">
        <f aca="false">IF(K150="","no date",IF(K150&lt;1,"0-1 yrs",IF(K150&lt;2,"1-2 yrs",IF(K150&lt;3,"2-3 yrs",IF(K150&lt;5,"3-5 yrs","5+ yrs")))))</f>
        <v>2-3 yrs</v>
      </c>
      <c r="M150" s="10" t="s">
        <v>85</v>
      </c>
      <c r="N150" s="11" t="n">
        <f aca="false">IFERROR(INDEX('State Rules'!$C$5:$C$11,MATCH($B150,'State Rules'!$A$5:$A$11,0)),"")</f>
        <v>2</v>
      </c>
      <c r="O150" s="19" t="n">
        <f aca="false">IF(OR(N150="",E150=""),"",EDATE(E150,12*N150))</f>
        <v>46183</v>
      </c>
      <c r="P150" s="19" t="n">
        <f aca="false">IF(E150="","",IFERROR(EDATE(E150,12*INDEX('State Rules'!$E$5:$E$11,MATCH($B150,'State Rules'!$A$5:$A$11,0))),""))</f>
        <v>46548</v>
      </c>
      <c r="Q150" s="10" t="str">
        <f aca="false">IF(O150="","",IFERROR(IF(O150&lt;=INDEX('State Rules'!$I$5:$I$11,MATCH($B150,'State Rules'!$A$5:$A$11,0)),"Yes","No"),""))</f>
        <v>Yes</v>
      </c>
      <c r="R150" s="10" t="str">
        <f aca="false">IF(P150="","",IFERROR(IF(P150&lt;=INDEX('State Rules'!$I$5:$I$11,MATCH($B150,'State Rules'!$A$5:$A$11,0)),"Yes","No"),""))</f>
        <v>No</v>
      </c>
      <c r="S150" s="7"/>
      <c r="T150" s="7"/>
      <c r="U150" s="21"/>
      <c r="V150" s="21"/>
      <c r="W150" s="21"/>
      <c r="X150" s="7"/>
      <c r="Y150" s="9" t="n">
        <f aca="false">IF(P150="","",IF(P150&lt;=$B$4,N(V150)+N(W150),0))</f>
        <v>0</v>
      </c>
    </row>
    <row r="151" customFormat="false" ht="15" hidden="false" customHeight="false" outlineLevel="0" collapsed="false">
      <c r="A151" s="10" t="s">
        <v>36</v>
      </c>
      <c r="B151" s="11" t="str">
        <f aca="false">IFERROR(INDEX(Summary!$B$7:$B$14,MATCH($A151,Summary!$A$7:$A$14,0)),"")</f>
        <v>PA</v>
      </c>
      <c r="C151" s="10" t="s">
        <v>36</v>
      </c>
      <c r="D151" s="10" t="n">
        <v>26</v>
      </c>
      <c r="E151" s="19" t="n">
        <v>45463</v>
      </c>
      <c r="F151" s="10" t="s">
        <v>379</v>
      </c>
      <c r="G151" s="10"/>
      <c r="H151" s="9" t="n">
        <v>995</v>
      </c>
      <c r="I151" s="10" t="s">
        <v>380</v>
      </c>
      <c r="J151" s="10" t="s">
        <v>84</v>
      </c>
      <c r="K151" s="20" t="n">
        <f aca="false">IF(E151="","",($B$4-E151)/365.25)</f>
        <v>2.2943189596167</v>
      </c>
      <c r="L151" s="10" t="str">
        <f aca="false">IF(K151="","no date",IF(K151&lt;1,"0-1 yrs",IF(K151&lt;2,"1-2 yrs",IF(K151&lt;3,"2-3 yrs",IF(K151&lt;5,"3-5 yrs","5+ yrs")))))</f>
        <v>2-3 yrs</v>
      </c>
      <c r="M151" s="10" t="s">
        <v>85</v>
      </c>
      <c r="N151" s="11" t="n">
        <f aca="false">IFERROR(INDEX('State Rules'!$C$5:$C$11,MATCH($B151,'State Rules'!$A$5:$A$11,0)),"")</f>
        <v>2</v>
      </c>
      <c r="O151" s="19" t="n">
        <f aca="false">IF(OR(N151="",E151=""),"",EDATE(E151,12*N151))</f>
        <v>46193</v>
      </c>
      <c r="P151" s="19" t="n">
        <f aca="false">IF(E151="","",IFERROR(EDATE(E151,12*INDEX('State Rules'!$E$5:$E$11,MATCH($B151,'State Rules'!$A$5:$A$11,0))),""))</f>
        <v>46558</v>
      </c>
      <c r="Q151" s="10" t="str">
        <f aca="false">IF(O151="","",IFERROR(IF(O151&lt;=INDEX('State Rules'!$I$5:$I$11,MATCH($B151,'State Rules'!$A$5:$A$11,0)),"Yes","No"),""))</f>
        <v>Yes</v>
      </c>
      <c r="R151" s="10" t="str">
        <f aca="false">IF(P151="","",IFERROR(IF(P151&lt;=INDEX('State Rules'!$I$5:$I$11,MATCH($B151,'State Rules'!$A$5:$A$11,0)),"Yes","No"),""))</f>
        <v>No</v>
      </c>
      <c r="S151" s="7"/>
      <c r="T151" s="7"/>
      <c r="U151" s="21"/>
      <c r="V151" s="21"/>
      <c r="W151" s="21"/>
      <c r="X151" s="7"/>
      <c r="Y151" s="9" t="n">
        <f aca="false">IF(P151="","",IF(P151&lt;=$B$4,N(V151)+N(W151),0))</f>
        <v>0</v>
      </c>
    </row>
    <row r="152" customFormat="false" ht="15" hidden="false" customHeight="false" outlineLevel="0" collapsed="false">
      <c r="A152" s="10" t="s">
        <v>36</v>
      </c>
      <c r="B152" s="11" t="str">
        <f aca="false">IFERROR(INDEX(Summary!$B$7:$B$14,MATCH($A152,Summary!$A$7:$A$14,0)),"")</f>
        <v>PA</v>
      </c>
      <c r="C152" s="10" t="s">
        <v>36</v>
      </c>
      <c r="D152" s="10" t="n">
        <v>27</v>
      </c>
      <c r="E152" s="19" t="n">
        <v>45463</v>
      </c>
      <c r="F152" s="10" t="s">
        <v>381</v>
      </c>
      <c r="G152" s="10"/>
      <c r="H152" s="9" t="n">
        <v>49</v>
      </c>
      <c r="I152" s="10" t="s">
        <v>382</v>
      </c>
      <c r="J152" s="10" t="s">
        <v>84</v>
      </c>
      <c r="K152" s="20" t="n">
        <f aca="false">IF(E152="","",($B$4-E152)/365.25)</f>
        <v>2.2943189596167</v>
      </c>
      <c r="L152" s="10" t="str">
        <f aca="false">IF(K152="","no date",IF(K152&lt;1,"0-1 yrs",IF(K152&lt;2,"1-2 yrs",IF(K152&lt;3,"2-3 yrs",IF(K152&lt;5,"3-5 yrs","5+ yrs")))))</f>
        <v>2-3 yrs</v>
      </c>
      <c r="M152" s="10" t="s">
        <v>123</v>
      </c>
      <c r="N152" s="11" t="n">
        <f aca="false">IFERROR(INDEX('State Rules'!$C$5:$C$11,MATCH($B152,'State Rules'!$A$5:$A$11,0)),"")</f>
        <v>2</v>
      </c>
      <c r="O152" s="19" t="n">
        <f aca="false">IF(OR(N152="",E152=""),"",EDATE(E152,12*N152))</f>
        <v>46193</v>
      </c>
      <c r="P152" s="19" t="n">
        <f aca="false">IF(E152="","",IFERROR(EDATE(E152,12*INDEX('State Rules'!$E$5:$E$11,MATCH($B152,'State Rules'!$A$5:$A$11,0))),""))</f>
        <v>46558</v>
      </c>
      <c r="Q152" s="10" t="str">
        <f aca="false">IF(O152="","",IFERROR(IF(O152&lt;=INDEX('State Rules'!$I$5:$I$11,MATCH($B152,'State Rules'!$A$5:$A$11,0)),"Yes","No"),""))</f>
        <v>Yes</v>
      </c>
      <c r="R152" s="10" t="str">
        <f aca="false">IF(P152="","",IFERROR(IF(P152&lt;=INDEX('State Rules'!$I$5:$I$11,MATCH($B152,'State Rules'!$A$5:$A$11,0)),"Yes","No"),""))</f>
        <v>No</v>
      </c>
      <c r="S152" s="7"/>
      <c r="T152" s="7"/>
      <c r="U152" s="21"/>
      <c r="V152" s="21"/>
      <c r="W152" s="21"/>
      <c r="X152" s="7"/>
      <c r="Y152" s="9" t="n">
        <f aca="false">IF(P152="","",IF(P152&lt;=$B$4,N(V152)+N(W152),0))</f>
        <v>0</v>
      </c>
    </row>
    <row r="153" customFormat="false" ht="15" hidden="false" customHeight="false" outlineLevel="0" collapsed="false">
      <c r="A153" s="10" t="s">
        <v>36</v>
      </c>
      <c r="B153" s="11" t="str">
        <f aca="false">IFERROR(INDEX(Summary!$B$7:$B$14,MATCH($A153,Summary!$A$7:$A$14,0)),"")</f>
        <v>PA</v>
      </c>
      <c r="C153" s="10" t="s">
        <v>36</v>
      </c>
      <c r="D153" s="10" t="n">
        <v>28</v>
      </c>
      <c r="E153" s="19" t="n">
        <v>45485</v>
      </c>
      <c r="F153" s="10" t="s">
        <v>383</v>
      </c>
      <c r="G153" s="10"/>
      <c r="H153" s="9" t="n">
        <v>1614</v>
      </c>
      <c r="I153" s="10" t="s">
        <v>384</v>
      </c>
      <c r="J153" s="10" t="s">
        <v>84</v>
      </c>
      <c r="K153" s="20" t="n">
        <f aca="false">IF(E153="","",($B$4-E153)/365.25)</f>
        <v>2.23408624229979</v>
      </c>
      <c r="L153" s="10" t="str">
        <f aca="false">IF(K153="","no date",IF(K153&lt;1,"0-1 yrs",IF(K153&lt;2,"1-2 yrs",IF(K153&lt;3,"2-3 yrs",IF(K153&lt;5,"3-5 yrs","5+ yrs")))))</f>
        <v>2-3 yrs</v>
      </c>
      <c r="M153" s="10" t="s">
        <v>85</v>
      </c>
      <c r="N153" s="11" t="n">
        <f aca="false">IFERROR(INDEX('State Rules'!$C$5:$C$11,MATCH($B153,'State Rules'!$A$5:$A$11,0)),"")</f>
        <v>2</v>
      </c>
      <c r="O153" s="19" t="n">
        <f aca="false">IF(OR(N153="",E153=""),"",EDATE(E153,12*N153))</f>
        <v>46215</v>
      </c>
      <c r="P153" s="19" t="n">
        <f aca="false">IF(E153="","",IFERROR(EDATE(E153,12*INDEX('State Rules'!$E$5:$E$11,MATCH($B153,'State Rules'!$A$5:$A$11,0))),""))</f>
        <v>46580</v>
      </c>
      <c r="Q153" s="10" t="str">
        <f aca="false">IF(O153="","",IFERROR(IF(O153&lt;=INDEX('State Rules'!$I$5:$I$11,MATCH($B153,'State Rules'!$A$5:$A$11,0)),"Yes","No"),""))</f>
        <v>Yes</v>
      </c>
      <c r="R153" s="10" t="str">
        <f aca="false">IF(P153="","",IFERROR(IF(P153&lt;=INDEX('State Rules'!$I$5:$I$11,MATCH($B153,'State Rules'!$A$5:$A$11,0)),"Yes","No"),""))</f>
        <v>No</v>
      </c>
      <c r="S153" s="7"/>
      <c r="T153" s="7"/>
      <c r="U153" s="21"/>
      <c r="V153" s="21"/>
      <c r="W153" s="21"/>
      <c r="X153" s="7"/>
      <c r="Y153" s="9" t="n">
        <f aca="false">IF(P153="","",IF(P153&lt;=$B$4,N(V153)+N(W153),0))</f>
        <v>0</v>
      </c>
    </row>
    <row r="154" customFormat="false" ht="15" hidden="false" customHeight="false" outlineLevel="0" collapsed="false">
      <c r="A154" s="10" t="s">
        <v>36</v>
      </c>
      <c r="B154" s="11" t="str">
        <f aca="false">IFERROR(INDEX(Summary!$B$7:$B$14,MATCH($A154,Summary!$A$7:$A$14,0)),"")</f>
        <v>PA</v>
      </c>
      <c r="C154" s="10" t="s">
        <v>36</v>
      </c>
      <c r="D154" s="10" t="n">
        <v>29</v>
      </c>
      <c r="E154" s="19" t="n">
        <v>45488</v>
      </c>
      <c r="F154" s="10" t="s">
        <v>385</v>
      </c>
      <c r="G154" s="10"/>
      <c r="H154" s="9" t="n">
        <v>400</v>
      </c>
      <c r="I154" s="10" t="s">
        <v>386</v>
      </c>
      <c r="J154" s="10" t="s">
        <v>84</v>
      </c>
      <c r="K154" s="20" t="n">
        <f aca="false">IF(E154="","",($B$4-E154)/365.25)</f>
        <v>2.2258726899384</v>
      </c>
      <c r="L154" s="10" t="str">
        <f aca="false">IF(K154="","no date",IF(K154&lt;1,"0-1 yrs",IF(K154&lt;2,"1-2 yrs",IF(K154&lt;3,"2-3 yrs",IF(K154&lt;5,"3-5 yrs","5+ yrs")))))</f>
        <v>2-3 yrs</v>
      </c>
      <c r="M154" s="10" t="s">
        <v>85</v>
      </c>
      <c r="N154" s="11" t="n">
        <f aca="false">IFERROR(INDEX('State Rules'!$C$5:$C$11,MATCH($B154,'State Rules'!$A$5:$A$11,0)),"")</f>
        <v>2</v>
      </c>
      <c r="O154" s="19" t="n">
        <f aca="false">IF(OR(N154="",E154=""),"",EDATE(E154,12*N154))</f>
        <v>46218</v>
      </c>
      <c r="P154" s="19" t="n">
        <f aca="false">IF(E154="","",IFERROR(EDATE(E154,12*INDEX('State Rules'!$E$5:$E$11,MATCH($B154,'State Rules'!$A$5:$A$11,0))),""))</f>
        <v>46583</v>
      </c>
      <c r="Q154" s="10" t="str">
        <f aca="false">IF(O154="","",IFERROR(IF(O154&lt;=INDEX('State Rules'!$I$5:$I$11,MATCH($B154,'State Rules'!$A$5:$A$11,0)),"Yes","No"),""))</f>
        <v>Yes</v>
      </c>
      <c r="R154" s="10" t="str">
        <f aca="false">IF(P154="","",IFERROR(IF(P154&lt;=INDEX('State Rules'!$I$5:$I$11,MATCH($B154,'State Rules'!$A$5:$A$11,0)),"Yes","No"),""))</f>
        <v>No</v>
      </c>
      <c r="S154" s="7"/>
      <c r="T154" s="7"/>
      <c r="U154" s="21"/>
      <c r="V154" s="21"/>
      <c r="W154" s="21"/>
      <c r="X154" s="7"/>
      <c r="Y154" s="9" t="n">
        <f aca="false">IF(P154="","",IF(P154&lt;=$B$4,N(V154)+N(W154),0))</f>
        <v>0</v>
      </c>
    </row>
    <row r="155" customFormat="false" ht="15" hidden="false" customHeight="false" outlineLevel="0" collapsed="false">
      <c r="A155" s="10" t="s">
        <v>36</v>
      </c>
      <c r="B155" s="11" t="str">
        <f aca="false">IFERROR(INDEX(Summary!$B$7:$B$14,MATCH($A155,Summary!$A$7:$A$14,0)),"")</f>
        <v>PA</v>
      </c>
      <c r="C155" s="10" t="s">
        <v>36</v>
      </c>
      <c r="D155" s="10" t="n">
        <v>30</v>
      </c>
      <c r="E155" s="19" t="n">
        <v>45499</v>
      </c>
      <c r="F155" s="10" t="s">
        <v>387</v>
      </c>
      <c r="G155" s="10"/>
      <c r="H155" s="9" t="n">
        <v>400</v>
      </c>
      <c r="I155" s="10" t="s">
        <v>388</v>
      </c>
      <c r="J155" s="10" t="s">
        <v>84</v>
      </c>
      <c r="K155" s="20" t="n">
        <f aca="false">IF(E155="","",($B$4-E155)/365.25)</f>
        <v>2.19575633127995</v>
      </c>
      <c r="L155" s="10" t="str">
        <f aca="false">IF(K155="","no date",IF(K155&lt;1,"0-1 yrs",IF(K155&lt;2,"1-2 yrs",IF(K155&lt;3,"2-3 yrs",IF(K155&lt;5,"3-5 yrs","5+ yrs")))))</f>
        <v>2-3 yrs</v>
      </c>
      <c r="M155" s="10" t="s">
        <v>85</v>
      </c>
      <c r="N155" s="11" t="n">
        <f aca="false">IFERROR(INDEX('State Rules'!$C$5:$C$11,MATCH($B155,'State Rules'!$A$5:$A$11,0)),"")</f>
        <v>2</v>
      </c>
      <c r="O155" s="19" t="n">
        <f aca="false">IF(OR(N155="",E155=""),"",EDATE(E155,12*N155))</f>
        <v>46229</v>
      </c>
      <c r="P155" s="19" t="n">
        <f aca="false">IF(E155="","",IFERROR(EDATE(E155,12*INDEX('State Rules'!$E$5:$E$11,MATCH($B155,'State Rules'!$A$5:$A$11,0))),""))</f>
        <v>46594</v>
      </c>
      <c r="Q155" s="10" t="str">
        <f aca="false">IF(O155="","",IFERROR(IF(O155&lt;=INDEX('State Rules'!$I$5:$I$11,MATCH($B155,'State Rules'!$A$5:$A$11,0)),"Yes","No"),""))</f>
        <v>Yes</v>
      </c>
      <c r="R155" s="10" t="str">
        <f aca="false">IF(P155="","",IFERROR(IF(P155&lt;=INDEX('State Rules'!$I$5:$I$11,MATCH($B155,'State Rules'!$A$5:$A$11,0)),"Yes","No"),""))</f>
        <v>No</v>
      </c>
      <c r="S155" s="7"/>
      <c r="T155" s="7"/>
      <c r="U155" s="21"/>
      <c r="V155" s="21"/>
      <c r="W155" s="21"/>
      <c r="X155" s="7"/>
      <c r="Y155" s="9" t="n">
        <f aca="false">IF(P155="","",IF(P155&lt;=$B$4,N(V155)+N(W155),0))</f>
        <v>0</v>
      </c>
    </row>
    <row r="156" customFormat="false" ht="15" hidden="false" customHeight="false" outlineLevel="0" collapsed="false">
      <c r="A156" s="10" t="s">
        <v>36</v>
      </c>
      <c r="B156" s="11" t="str">
        <f aca="false">IFERROR(INDEX(Summary!$B$7:$B$14,MATCH($A156,Summary!$A$7:$A$14,0)),"")</f>
        <v>PA</v>
      </c>
      <c r="C156" s="10" t="s">
        <v>36</v>
      </c>
      <c r="D156" s="10" t="n">
        <v>31</v>
      </c>
      <c r="E156" s="19" t="n">
        <v>45524</v>
      </c>
      <c r="F156" s="10" t="s">
        <v>389</v>
      </c>
      <c r="G156" s="10"/>
      <c r="H156" s="9" t="n">
        <v>595</v>
      </c>
      <c r="I156" s="10" t="s">
        <v>390</v>
      </c>
      <c r="J156" s="10" t="s">
        <v>84</v>
      </c>
      <c r="K156" s="20" t="n">
        <f aca="false">IF(E156="","",($B$4-E156)/365.25)</f>
        <v>2.12731006160164</v>
      </c>
      <c r="L156" s="10" t="str">
        <f aca="false">IF(K156="","no date",IF(K156&lt;1,"0-1 yrs",IF(K156&lt;2,"1-2 yrs",IF(K156&lt;3,"2-3 yrs",IF(K156&lt;5,"3-5 yrs","5+ yrs")))))</f>
        <v>2-3 yrs</v>
      </c>
      <c r="M156" s="10" t="s">
        <v>123</v>
      </c>
      <c r="N156" s="11" t="n">
        <f aca="false">IFERROR(INDEX('State Rules'!$C$5:$C$11,MATCH($B156,'State Rules'!$A$5:$A$11,0)),"")</f>
        <v>2</v>
      </c>
      <c r="O156" s="19" t="n">
        <f aca="false">IF(OR(N156="",E156=""),"",EDATE(E156,12*N156))</f>
        <v>46254</v>
      </c>
      <c r="P156" s="19" t="n">
        <f aca="false">IF(E156="","",IFERROR(EDATE(E156,12*INDEX('State Rules'!$E$5:$E$11,MATCH($B156,'State Rules'!$A$5:$A$11,0))),""))</f>
        <v>46619</v>
      </c>
      <c r="Q156" s="10" t="str">
        <f aca="false">IF(O156="","",IFERROR(IF(O156&lt;=INDEX('State Rules'!$I$5:$I$11,MATCH($B156,'State Rules'!$A$5:$A$11,0)),"Yes","No"),""))</f>
        <v>Yes</v>
      </c>
      <c r="R156" s="10" t="str">
        <f aca="false">IF(P156="","",IFERROR(IF(P156&lt;=INDEX('State Rules'!$I$5:$I$11,MATCH($B156,'State Rules'!$A$5:$A$11,0)),"Yes","No"),""))</f>
        <v>No</v>
      </c>
      <c r="S156" s="7"/>
      <c r="T156" s="7"/>
      <c r="U156" s="21"/>
      <c r="V156" s="21"/>
      <c r="W156" s="21"/>
      <c r="X156" s="7"/>
      <c r="Y156" s="9" t="n">
        <f aca="false">IF(P156="","",IF(P156&lt;=$B$4,N(V156)+N(W156),0))</f>
        <v>0</v>
      </c>
    </row>
    <row r="157" customFormat="false" ht="15" hidden="false" customHeight="false" outlineLevel="0" collapsed="false">
      <c r="A157" s="10" t="s">
        <v>36</v>
      </c>
      <c r="B157" s="11" t="str">
        <f aca="false">IFERROR(INDEX(Summary!$B$7:$B$14,MATCH($A157,Summary!$A$7:$A$14,0)),"")</f>
        <v>PA</v>
      </c>
      <c r="C157" s="10" t="s">
        <v>36</v>
      </c>
      <c r="D157" s="10" t="n">
        <v>32</v>
      </c>
      <c r="E157" s="19" t="n">
        <v>45532</v>
      </c>
      <c r="F157" s="10" t="s">
        <v>391</v>
      </c>
      <c r="G157" s="10"/>
      <c r="H157" s="9" t="n">
        <v>823.06</v>
      </c>
      <c r="I157" s="10" t="s">
        <v>392</v>
      </c>
      <c r="J157" s="10" t="s">
        <v>84</v>
      </c>
      <c r="K157" s="20" t="n">
        <f aca="false">IF(E157="","",($B$4-E157)/365.25)</f>
        <v>2.10540725530459</v>
      </c>
      <c r="L157" s="10" t="str">
        <f aca="false">IF(K157="","no date",IF(K157&lt;1,"0-1 yrs",IF(K157&lt;2,"1-2 yrs",IF(K157&lt;3,"2-3 yrs",IF(K157&lt;5,"3-5 yrs","5+ yrs")))))</f>
        <v>2-3 yrs</v>
      </c>
      <c r="M157" s="10" t="s">
        <v>85</v>
      </c>
      <c r="N157" s="11" t="n">
        <f aca="false">IFERROR(INDEX('State Rules'!$C$5:$C$11,MATCH($B157,'State Rules'!$A$5:$A$11,0)),"")</f>
        <v>2</v>
      </c>
      <c r="O157" s="19" t="n">
        <f aca="false">IF(OR(N157="",E157=""),"",EDATE(E157,12*N157))</f>
        <v>46262</v>
      </c>
      <c r="P157" s="19" t="n">
        <f aca="false">IF(E157="","",IFERROR(EDATE(E157,12*INDEX('State Rules'!$E$5:$E$11,MATCH($B157,'State Rules'!$A$5:$A$11,0))),""))</f>
        <v>46627</v>
      </c>
      <c r="Q157" s="10" t="str">
        <f aca="false">IF(O157="","",IFERROR(IF(O157&lt;=INDEX('State Rules'!$I$5:$I$11,MATCH($B157,'State Rules'!$A$5:$A$11,0)),"Yes","No"),""))</f>
        <v>Yes</v>
      </c>
      <c r="R157" s="10" t="str">
        <f aca="false">IF(P157="","",IFERROR(IF(P157&lt;=INDEX('State Rules'!$I$5:$I$11,MATCH($B157,'State Rules'!$A$5:$A$11,0)),"Yes","No"),""))</f>
        <v>No</v>
      </c>
      <c r="S157" s="7"/>
      <c r="T157" s="7"/>
      <c r="U157" s="21"/>
      <c r="V157" s="21"/>
      <c r="W157" s="21"/>
      <c r="X157" s="7"/>
      <c r="Y157" s="9" t="n">
        <f aca="false">IF(P157="","",IF(P157&lt;=$B$4,N(V157)+N(W157),0))</f>
        <v>0</v>
      </c>
    </row>
    <row r="158" customFormat="false" ht="15" hidden="false" customHeight="false" outlineLevel="0" collapsed="false">
      <c r="A158" s="10" t="s">
        <v>36</v>
      </c>
      <c r="B158" s="11" t="str">
        <f aca="false">IFERROR(INDEX(Summary!$B$7:$B$14,MATCH($A158,Summary!$A$7:$A$14,0)),"")</f>
        <v>PA</v>
      </c>
      <c r="C158" s="10" t="s">
        <v>36</v>
      </c>
      <c r="D158" s="10" t="n">
        <v>33</v>
      </c>
      <c r="E158" s="19" t="n">
        <v>45588</v>
      </c>
      <c r="F158" s="10" t="s">
        <v>393</v>
      </c>
      <c r="G158" s="10"/>
      <c r="H158" s="9" t="n">
        <v>495</v>
      </c>
      <c r="I158" s="10" t="s">
        <v>151</v>
      </c>
      <c r="J158" s="10" t="s">
        <v>84</v>
      </c>
      <c r="K158" s="20" t="n">
        <f aca="false">IF(E158="","",($B$4-E158)/365.25)</f>
        <v>1.95208761122519</v>
      </c>
      <c r="L158" s="10" t="str">
        <f aca="false">IF(K158="","no date",IF(K158&lt;1,"0-1 yrs",IF(K158&lt;2,"1-2 yrs",IF(K158&lt;3,"2-3 yrs",IF(K158&lt;5,"3-5 yrs","5+ yrs")))))</f>
        <v>1-2 yrs</v>
      </c>
      <c r="M158" s="10" t="s">
        <v>123</v>
      </c>
      <c r="N158" s="11" t="n">
        <f aca="false">IFERROR(INDEX('State Rules'!$C$5:$C$11,MATCH($B158,'State Rules'!$A$5:$A$11,0)),"")</f>
        <v>2</v>
      </c>
      <c r="O158" s="19" t="n">
        <f aca="false">IF(OR(N158="",E158=""),"",EDATE(E158,12*N158))</f>
        <v>46318</v>
      </c>
      <c r="P158" s="19" t="n">
        <f aca="false">IF(E158="","",IFERROR(EDATE(E158,12*INDEX('State Rules'!$E$5:$E$11,MATCH($B158,'State Rules'!$A$5:$A$11,0))),""))</f>
        <v>46683</v>
      </c>
      <c r="Q158" s="10" t="str">
        <f aca="false">IF(O158="","",IFERROR(IF(O158&lt;=INDEX('State Rules'!$I$5:$I$11,MATCH($B158,'State Rules'!$A$5:$A$11,0)),"Yes","No"),""))</f>
        <v>Yes</v>
      </c>
      <c r="R158" s="10" t="str">
        <f aca="false">IF(P158="","",IFERROR(IF(P158&lt;=INDEX('State Rules'!$I$5:$I$11,MATCH($B158,'State Rules'!$A$5:$A$11,0)),"Yes","No"),""))</f>
        <v>No</v>
      </c>
      <c r="S158" s="7"/>
      <c r="T158" s="7"/>
      <c r="U158" s="21"/>
      <c r="V158" s="21"/>
      <c r="W158" s="21"/>
      <c r="X158" s="7"/>
      <c r="Y158" s="9" t="n">
        <f aca="false">IF(P158="","",IF(P158&lt;=$B$4,N(V158)+N(W158),0))</f>
        <v>0</v>
      </c>
    </row>
    <row r="159" customFormat="false" ht="15" hidden="false" customHeight="false" outlineLevel="0" collapsed="false">
      <c r="A159" s="10" t="s">
        <v>36</v>
      </c>
      <c r="B159" s="11" t="str">
        <f aca="false">IFERROR(INDEX(Summary!$B$7:$B$14,MATCH($A159,Summary!$A$7:$A$14,0)),"")</f>
        <v>PA</v>
      </c>
      <c r="C159" s="10" t="s">
        <v>36</v>
      </c>
      <c r="D159" s="10" t="n">
        <v>34</v>
      </c>
      <c r="E159" s="19" t="n">
        <v>45597</v>
      </c>
      <c r="F159" s="10" t="s">
        <v>394</v>
      </c>
      <c r="G159" s="10"/>
      <c r="H159" s="9" t="n">
        <v>152</v>
      </c>
      <c r="I159" s="10"/>
      <c r="J159" s="10" t="s">
        <v>84</v>
      </c>
      <c r="K159" s="20" t="n">
        <f aca="false">IF(E159="","",($B$4-E159)/365.25)</f>
        <v>1.927446954141</v>
      </c>
      <c r="L159" s="10" t="str">
        <f aca="false">IF(K159="","no date",IF(K159&lt;1,"0-1 yrs",IF(K159&lt;2,"1-2 yrs",IF(K159&lt;3,"2-3 yrs",IF(K159&lt;5,"3-5 yrs","5+ yrs")))))</f>
        <v>1-2 yrs</v>
      </c>
      <c r="M159" s="10" t="s">
        <v>85</v>
      </c>
      <c r="N159" s="11" t="n">
        <f aca="false">IFERROR(INDEX('State Rules'!$C$5:$C$11,MATCH($B159,'State Rules'!$A$5:$A$11,0)),"")</f>
        <v>2</v>
      </c>
      <c r="O159" s="19" t="n">
        <f aca="false">IF(OR(N159="",E159=""),"",EDATE(E159,12*N159))</f>
        <v>46327</v>
      </c>
      <c r="P159" s="19" t="n">
        <f aca="false">IF(E159="","",IFERROR(EDATE(E159,12*INDEX('State Rules'!$E$5:$E$11,MATCH($B159,'State Rules'!$A$5:$A$11,0))),""))</f>
        <v>46692</v>
      </c>
      <c r="Q159" s="10" t="str">
        <f aca="false">IF(O159="","",IFERROR(IF(O159&lt;=INDEX('State Rules'!$I$5:$I$11,MATCH($B159,'State Rules'!$A$5:$A$11,0)),"Yes","No"),""))</f>
        <v>Yes</v>
      </c>
      <c r="R159" s="10" t="str">
        <f aca="false">IF(P159="","",IFERROR(IF(P159&lt;=INDEX('State Rules'!$I$5:$I$11,MATCH($B159,'State Rules'!$A$5:$A$11,0)),"Yes","No"),""))</f>
        <v>No</v>
      </c>
      <c r="S159" s="7"/>
      <c r="T159" s="7"/>
      <c r="U159" s="21"/>
      <c r="V159" s="21"/>
      <c r="W159" s="21"/>
      <c r="X159" s="7"/>
      <c r="Y159" s="9" t="n">
        <f aca="false">IF(P159="","",IF(P159&lt;=$B$4,N(V159)+N(W159),0))</f>
        <v>0</v>
      </c>
    </row>
    <row r="160" customFormat="false" ht="15" hidden="false" customHeight="false" outlineLevel="0" collapsed="false">
      <c r="A160" s="10" t="s">
        <v>36</v>
      </c>
      <c r="B160" s="11" t="str">
        <f aca="false">IFERROR(INDEX(Summary!$B$7:$B$14,MATCH($A160,Summary!$A$7:$A$14,0)),"")</f>
        <v>PA</v>
      </c>
      <c r="C160" s="10" t="s">
        <v>36</v>
      </c>
      <c r="D160" s="10" t="n">
        <v>35</v>
      </c>
      <c r="E160" s="19" t="n">
        <v>45611</v>
      </c>
      <c r="F160" s="10" t="s">
        <v>395</v>
      </c>
      <c r="G160" s="10"/>
      <c r="H160" s="9" t="n">
        <v>270</v>
      </c>
      <c r="I160" s="10" t="s">
        <v>396</v>
      </c>
      <c r="J160" s="10" t="s">
        <v>84</v>
      </c>
      <c r="K160" s="20" t="n">
        <f aca="false">IF(E160="","",($B$4-E160)/365.25)</f>
        <v>1.88911704312115</v>
      </c>
      <c r="L160" s="10" t="str">
        <f aca="false">IF(K160="","no date",IF(K160&lt;1,"0-1 yrs",IF(K160&lt;2,"1-2 yrs",IF(K160&lt;3,"2-3 yrs",IF(K160&lt;5,"3-5 yrs","5+ yrs")))))</f>
        <v>1-2 yrs</v>
      </c>
      <c r="M160" s="10" t="s">
        <v>85</v>
      </c>
      <c r="N160" s="11" t="n">
        <f aca="false">IFERROR(INDEX('State Rules'!$C$5:$C$11,MATCH($B160,'State Rules'!$A$5:$A$11,0)),"")</f>
        <v>2</v>
      </c>
      <c r="O160" s="19" t="n">
        <f aca="false">IF(OR(N160="",E160=""),"",EDATE(E160,12*N160))</f>
        <v>46341</v>
      </c>
      <c r="P160" s="19" t="n">
        <f aca="false">IF(E160="","",IFERROR(EDATE(E160,12*INDEX('State Rules'!$E$5:$E$11,MATCH($B160,'State Rules'!$A$5:$A$11,0))),""))</f>
        <v>46706</v>
      </c>
      <c r="Q160" s="10" t="str">
        <f aca="false">IF(O160="","",IFERROR(IF(O160&lt;=INDEX('State Rules'!$I$5:$I$11,MATCH($B160,'State Rules'!$A$5:$A$11,0)),"Yes","No"),""))</f>
        <v>Yes</v>
      </c>
      <c r="R160" s="10" t="str">
        <f aca="false">IF(P160="","",IFERROR(IF(P160&lt;=INDEX('State Rules'!$I$5:$I$11,MATCH($B160,'State Rules'!$A$5:$A$11,0)),"Yes","No"),""))</f>
        <v>No</v>
      </c>
      <c r="S160" s="7"/>
      <c r="T160" s="7"/>
      <c r="U160" s="21"/>
      <c r="V160" s="21"/>
      <c r="W160" s="21"/>
      <c r="X160" s="7"/>
      <c r="Y160" s="9" t="n">
        <f aca="false">IF(P160="","",IF(P160&lt;=$B$4,N(V160)+N(W160),0))</f>
        <v>0</v>
      </c>
    </row>
    <row r="161" customFormat="false" ht="15" hidden="false" customHeight="false" outlineLevel="0" collapsed="false">
      <c r="A161" s="10" t="s">
        <v>36</v>
      </c>
      <c r="B161" s="11" t="str">
        <f aca="false">IFERROR(INDEX(Summary!$B$7:$B$14,MATCH($A161,Summary!$A$7:$A$14,0)),"")</f>
        <v>PA</v>
      </c>
      <c r="C161" s="10" t="s">
        <v>36</v>
      </c>
      <c r="D161" s="10" t="n">
        <v>36</v>
      </c>
      <c r="E161" s="19" t="n">
        <v>45630</v>
      </c>
      <c r="F161" s="10" t="s">
        <v>397</v>
      </c>
      <c r="G161" s="10"/>
      <c r="H161" s="9" t="n">
        <v>2936.25</v>
      </c>
      <c r="I161" s="10" t="s">
        <v>398</v>
      </c>
      <c r="J161" s="10" t="s">
        <v>84</v>
      </c>
      <c r="K161" s="20" t="n">
        <f aca="false">IF(E161="","",($B$4-E161)/365.25)</f>
        <v>1.83709787816564</v>
      </c>
      <c r="L161" s="10" t="str">
        <f aca="false">IF(K161="","no date",IF(K161&lt;1,"0-1 yrs",IF(K161&lt;2,"1-2 yrs",IF(K161&lt;3,"2-3 yrs",IF(K161&lt;5,"3-5 yrs","5+ yrs")))))</f>
        <v>1-2 yrs</v>
      </c>
      <c r="M161" s="10" t="s">
        <v>85</v>
      </c>
      <c r="N161" s="11" t="n">
        <f aca="false">IFERROR(INDEX('State Rules'!$C$5:$C$11,MATCH($B161,'State Rules'!$A$5:$A$11,0)),"")</f>
        <v>2</v>
      </c>
      <c r="O161" s="19" t="n">
        <f aca="false">IF(OR(N161="",E161=""),"",EDATE(E161,12*N161))</f>
        <v>46360</v>
      </c>
      <c r="P161" s="19" t="n">
        <f aca="false">IF(E161="","",IFERROR(EDATE(E161,12*INDEX('State Rules'!$E$5:$E$11,MATCH($B161,'State Rules'!$A$5:$A$11,0))),""))</f>
        <v>46725</v>
      </c>
      <c r="Q161" s="10" t="str">
        <f aca="false">IF(O161="","",IFERROR(IF(O161&lt;=INDEX('State Rules'!$I$5:$I$11,MATCH($B161,'State Rules'!$A$5:$A$11,0)),"Yes","No"),""))</f>
        <v>Yes</v>
      </c>
      <c r="R161" s="10" t="str">
        <f aca="false">IF(P161="","",IFERROR(IF(P161&lt;=INDEX('State Rules'!$I$5:$I$11,MATCH($B161,'State Rules'!$A$5:$A$11,0)),"Yes","No"),""))</f>
        <v>No</v>
      </c>
      <c r="S161" s="7"/>
      <c r="T161" s="7"/>
      <c r="U161" s="21"/>
      <c r="V161" s="21"/>
      <c r="W161" s="21"/>
      <c r="X161" s="7"/>
      <c r="Y161" s="9" t="n">
        <f aca="false">IF(P161="","",IF(P161&lt;=$B$4,N(V161)+N(W161),0))</f>
        <v>0</v>
      </c>
    </row>
    <row r="162" customFormat="false" ht="15" hidden="false" customHeight="false" outlineLevel="0" collapsed="false">
      <c r="A162" s="10" t="s">
        <v>36</v>
      </c>
      <c r="B162" s="11" t="str">
        <f aca="false">IFERROR(INDEX(Summary!$B$7:$B$14,MATCH($A162,Summary!$A$7:$A$14,0)),"")</f>
        <v>PA</v>
      </c>
      <c r="C162" s="10" t="s">
        <v>36</v>
      </c>
      <c r="D162" s="10" t="n">
        <v>37</v>
      </c>
      <c r="E162" s="19" t="n">
        <v>45630</v>
      </c>
      <c r="F162" s="10" t="s">
        <v>399</v>
      </c>
      <c r="G162" s="10"/>
      <c r="H162" s="9" t="n">
        <v>400</v>
      </c>
      <c r="I162" s="10" t="s">
        <v>398</v>
      </c>
      <c r="J162" s="10" t="s">
        <v>84</v>
      </c>
      <c r="K162" s="20" t="n">
        <f aca="false">IF(E162="","",($B$4-E162)/365.25)</f>
        <v>1.83709787816564</v>
      </c>
      <c r="L162" s="10" t="str">
        <f aca="false">IF(K162="","no date",IF(K162&lt;1,"0-1 yrs",IF(K162&lt;2,"1-2 yrs",IF(K162&lt;3,"2-3 yrs",IF(K162&lt;5,"3-5 yrs","5+ yrs")))))</f>
        <v>1-2 yrs</v>
      </c>
      <c r="M162" s="10" t="s">
        <v>85</v>
      </c>
      <c r="N162" s="11" t="n">
        <f aca="false">IFERROR(INDEX('State Rules'!$C$5:$C$11,MATCH($B162,'State Rules'!$A$5:$A$11,0)),"")</f>
        <v>2</v>
      </c>
      <c r="O162" s="19" t="n">
        <f aca="false">IF(OR(N162="",E162=""),"",EDATE(E162,12*N162))</f>
        <v>46360</v>
      </c>
      <c r="P162" s="19" t="n">
        <f aca="false">IF(E162="","",IFERROR(EDATE(E162,12*INDEX('State Rules'!$E$5:$E$11,MATCH($B162,'State Rules'!$A$5:$A$11,0))),""))</f>
        <v>46725</v>
      </c>
      <c r="Q162" s="10" t="str">
        <f aca="false">IF(O162="","",IFERROR(IF(O162&lt;=INDEX('State Rules'!$I$5:$I$11,MATCH($B162,'State Rules'!$A$5:$A$11,0)),"Yes","No"),""))</f>
        <v>Yes</v>
      </c>
      <c r="R162" s="10" t="str">
        <f aca="false">IF(P162="","",IFERROR(IF(P162&lt;=INDEX('State Rules'!$I$5:$I$11,MATCH($B162,'State Rules'!$A$5:$A$11,0)),"Yes","No"),""))</f>
        <v>No</v>
      </c>
      <c r="S162" s="7"/>
      <c r="T162" s="7"/>
      <c r="U162" s="21"/>
      <c r="V162" s="21"/>
      <c r="W162" s="21"/>
      <c r="X162" s="7"/>
      <c r="Y162" s="9" t="n">
        <f aca="false">IF(P162="","",IF(P162&lt;=$B$4,N(V162)+N(W162),0))</f>
        <v>0</v>
      </c>
    </row>
    <row r="163" customFormat="false" ht="15" hidden="false" customHeight="false" outlineLevel="0" collapsed="false">
      <c r="A163" s="10" t="s">
        <v>36</v>
      </c>
      <c r="B163" s="11" t="str">
        <f aca="false">IFERROR(INDEX(Summary!$B$7:$B$14,MATCH($A163,Summary!$A$7:$A$14,0)),"")</f>
        <v>PA</v>
      </c>
      <c r="C163" s="10" t="s">
        <v>36</v>
      </c>
      <c r="D163" s="10" t="n">
        <v>38</v>
      </c>
      <c r="E163" s="19" t="n">
        <v>45630</v>
      </c>
      <c r="F163" s="10" t="s">
        <v>400</v>
      </c>
      <c r="G163" s="10"/>
      <c r="H163" s="9" t="n">
        <v>595</v>
      </c>
      <c r="I163" s="10" t="s">
        <v>398</v>
      </c>
      <c r="J163" s="10" t="s">
        <v>84</v>
      </c>
      <c r="K163" s="20" t="n">
        <f aca="false">IF(E163="","",($B$4-E163)/365.25)</f>
        <v>1.83709787816564</v>
      </c>
      <c r="L163" s="10" t="str">
        <f aca="false">IF(K163="","no date",IF(K163&lt;1,"0-1 yrs",IF(K163&lt;2,"1-2 yrs",IF(K163&lt;3,"2-3 yrs",IF(K163&lt;5,"3-5 yrs","5+ yrs")))))</f>
        <v>1-2 yrs</v>
      </c>
      <c r="M163" s="10" t="s">
        <v>123</v>
      </c>
      <c r="N163" s="11" t="n">
        <f aca="false">IFERROR(INDEX('State Rules'!$C$5:$C$11,MATCH($B163,'State Rules'!$A$5:$A$11,0)),"")</f>
        <v>2</v>
      </c>
      <c r="O163" s="19" t="n">
        <f aca="false">IF(OR(N163="",E163=""),"",EDATE(E163,12*N163))</f>
        <v>46360</v>
      </c>
      <c r="P163" s="19" t="n">
        <f aca="false">IF(E163="","",IFERROR(EDATE(E163,12*INDEX('State Rules'!$E$5:$E$11,MATCH($B163,'State Rules'!$A$5:$A$11,0))),""))</f>
        <v>46725</v>
      </c>
      <c r="Q163" s="10" t="str">
        <f aca="false">IF(O163="","",IFERROR(IF(O163&lt;=INDEX('State Rules'!$I$5:$I$11,MATCH($B163,'State Rules'!$A$5:$A$11,0)),"Yes","No"),""))</f>
        <v>Yes</v>
      </c>
      <c r="R163" s="10" t="str">
        <f aca="false">IF(P163="","",IFERROR(IF(P163&lt;=INDEX('State Rules'!$I$5:$I$11,MATCH($B163,'State Rules'!$A$5:$A$11,0)),"Yes","No"),""))</f>
        <v>No</v>
      </c>
      <c r="S163" s="7"/>
      <c r="T163" s="7"/>
      <c r="U163" s="21"/>
      <c r="V163" s="21"/>
      <c r="W163" s="21"/>
      <c r="X163" s="7"/>
      <c r="Y163" s="9" t="n">
        <f aca="false">IF(P163="","",IF(P163&lt;=$B$4,N(V163)+N(W163),0))</f>
        <v>0</v>
      </c>
    </row>
    <row r="164" customFormat="false" ht="15" hidden="false" customHeight="false" outlineLevel="0" collapsed="false">
      <c r="A164" s="10" t="s">
        <v>36</v>
      </c>
      <c r="B164" s="11" t="str">
        <f aca="false">IFERROR(INDEX(Summary!$B$7:$B$14,MATCH($A164,Summary!$A$7:$A$14,0)),"")</f>
        <v>PA</v>
      </c>
      <c r="C164" s="10" t="s">
        <v>36</v>
      </c>
      <c r="D164" s="10" t="n">
        <v>39</v>
      </c>
      <c r="E164" s="19" t="n">
        <v>45688</v>
      </c>
      <c r="F164" s="10" t="s">
        <v>401</v>
      </c>
      <c r="G164" s="10"/>
      <c r="H164" s="9" t="n">
        <v>2500</v>
      </c>
      <c r="I164" s="10"/>
      <c r="J164" s="10" t="s">
        <v>84</v>
      </c>
      <c r="K164" s="20" t="n">
        <f aca="false">IF(E164="","",($B$4-E164)/365.25)</f>
        <v>1.67830253251198</v>
      </c>
      <c r="L164" s="10" t="str">
        <f aca="false">IF(K164="","no date",IF(K164&lt;1,"0-1 yrs",IF(K164&lt;2,"1-2 yrs",IF(K164&lt;3,"2-3 yrs",IF(K164&lt;5,"3-5 yrs","5+ yrs")))))</f>
        <v>1-2 yrs</v>
      </c>
      <c r="M164" s="10" t="s">
        <v>85</v>
      </c>
      <c r="N164" s="11" t="n">
        <f aca="false">IFERROR(INDEX('State Rules'!$C$5:$C$11,MATCH($B164,'State Rules'!$A$5:$A$11,0)),"")</f>
        <v>2</v>
      </c>
      <c r="O164" s="19" t="n">
        <f aca="false">IF(OR(N164="",E164=""),"",EDATE(E164,12*N164))</f>
        <v>46418</v>
      </c>
      <c r="P164" s="19" t="n">
        <f aca="false">IF(E164="","",IFERROR(EDATE(E164,12*INDEX('State Rules'!$E$5:$E$11,MATCH($B164,'State Rules'!$A$5:$A$11,0))),""))</f>
        <v>46783</v>
      </c>
      <c r="Q164" s="10" t="str">
        <f aca="false">IF(O164="","",IFERROR(IF(O164&lt;=INDEX('State Rules'!$I$5:$I$11,MATCH($B164,'State Rules'!$A$5:$A$11,0)),"Yes","No"),""))</f>
        <v>No</v>
      </c>
      <c r="R164" s="10" t="str">
        <f aca="false">IF(P164="","",IFERROR(IF(P164&lt;=INDEX('State Rules'!$I$5:$I$11,MATCH($B164,'State Rules'!$A$5:$A$11,0)),"Yes","No"),""))</f>
        <v>No</v>
      </c>
      <c r="S164" s="7"/>
      <c r="T164" s="7"/>
      <c r="U164" s="21"/>
      <c r="V164" s="21"/>
      <c r="W164" s="21"/>
      <c r="X164" s="7"/>
      <c r="Y164" s="9" t="n">
        <f aca="false">IF(P164="","",IF(P164&lt;=$B$4,N(V164)+N(W164),0))</f>
        <v>0</v>
      </c>
    </row>
    <row r="165" customFormat="false" ht="15" hidden="false" customHeight="false" outlineLevel="0" collapsed="false">
      <c r="A165" s="10" t="s">
        <v>36</v>
      </c>
      <c r="B165" s="11" t="str">
        <f aca="false">IFERROR(INDEX(Summary!$B$7:$B$14,MATCH($A165,Summary!$A$7:$A$14,0)),"")</f>
        <v>PA</v>
      </c>
      <c r="C165" s="10" t="s">
        <v>36</v>
      </c>
      <c r="D165" s="10" t="n">
        <v>40</v>
      </c>
      <c r="E165" s="19" t="n">
        <v>45698</v>
      </c>
      <c r="F165" s="10" t="s">
        <v>402</v>
      </c>
      <c r="G165" s="10"/>
      <c r="H165" s="9" t="n">
        <v>595</v>
      </c>
      <c r="I165" s="10" t="s">
        <v>403</v>
      </c>
      <c r="J165" s="10" t="s">
        <v>84</v>
      </c>
      <c r="K165" s="20" t="n">
        <f aca="false">IF(E165="","",($B$4-E165)/365.25)</f>
        <v>1.65092402464066</v>
      </c>
      <c r="L165" s="10" t="str">
        <f aca="false">IF(K165="","no date",IF(K165&lt;1,"0-1 yrs",IF(K165&lt;2,"1-2 yrs",IF(K165&lt;3,"2-3 yrs",IF(K165&lt;5,"3-5 yrs","5+ yrs")))))</f>
        <v>1-2 yrs</v>
      </c>
      <c r="M165" s="10" t="s">
        <v>123</v>
      </c>
      <c r="N165" s="11" t="n">
        <f aca="false">IFERROR(INDEX('State Rules'!$C$5:$C$11,MATCH($B165,'State Rules'!$A$5:$A$11,0)),"")</f>
        <v>2</v>
      </c>
      <c r="O165" s="19" t="n">
        <f aca="false">IF(OR(N165="",E165=""),"",EDATE(E165,12*N165))</f>
        <v>46428</v>
      </c>
      <c r="P165" s="19" t="n">
        <f aca="false">IF(E165="","",IFERROR(EDATE(E165,12*INDEX('State Rules'!$E$5:$E$11,MATCH($B165,'State Rules'!$A$5:$A$11,0))),""))</f>
        <v>46793</v>
      </c>
      <c r="Q165" s="10" t="str">
        <f aca="false">IF(O165="","",IFERROR(IF(O165&lt;=INDEX('State Rules'!$I$5:$I$11,MATCH($B165,'State Rules'!$A$5:$A$11,0)),"Yes","No"),""))</f>
        <v>No</v>
      </c>
      <c r="R165" s="10" t="str">
        <f aca="false">IF(P165="","",IFERROR(IF(P165&lt;=INDEX('State Rules'!$I$5:$I$11,MATCH($B165,'State Rules'!$A$5:$A$11,0)),"Yes","No"),""))</f>
        <v>No</v>
      </c>
      <c r="S165" s="7"/>
      <c r="T165" s="7"/>
      <c r="U165" s="21"/>
      <c r="V165" s="21"/>
      <c r="W165" s="21"/>
      <c r="X165" s="7"/>
      <c r="Y165" s="9" t="n">
        <f aca="false">IF(P165="","",IF(P165&lt;=$B$4,N(V165)+N(W165),0))</f>
        <v>0</v>
      </c>
    </row>
    <row r="166" customFormat="false" ht="15" hidden="false" customHeight="false" outlineLevel="0" collapsed="false">
      <c r="A166" s="10" t="s">
        <v>36</v>
      </c>
      <c r="B166" s="11" t="str">
        <f aca="false">IFERROR(INDEX(Summary!$B$7:$B$14,MATCH($A166,Summary!$A$7:$A$14,0)),"")</f>
        <v>PA</v>
      </c>
      <c r="C166" s="10" t="s">
        <v>36</v>
      </c>
      <c r="D166" s="10" t="n">
        <v>41</v>
      </c>
      <c r="E166" s="19" t="n">
        <v>45715</v>
      </c>
      <c r="F166" s="10" t="s">
        <v>404</v>
      </c>
      <c r="G166" s="10"/>
      <c r="H166" s="9" t="n">
        <v>295</v>
      </c>
      <c r="I166" s="10" t="s">
        <v>405</v>
      </c>
      <c r="J166" s="10" t="s">
        <v>84</v>
      </c>
      <c r="K166" s="20" t="n">
        <f aca="false">IF(E166="","",($B$4-E166)/365.25)</f>
        <v>1.60438056125941</v>
      </c>
      <c r="L166" s="10" t="str">
        <f aca="false">IF(K166="","no date",IF(K166&lt;1,"0-1 yrs",IF(K166&lt;2,"1-2 yrs",IF(K166&lt;3,"2-3 yrs",IF(K166&lt;5,"3-5 yrs","5+ yrs")))))</f>
        <v>1-2 yrs</v>
      </c>
      <c r="M166" s="10" t="s">
        <v>85</v>
      </c>
      <c r="N166" s="11" t="n">
        <f aca="false">IFERROR(INDEX('State Rules'!$C$5:$C$11,MATCH($B166,'State Rules'!$A$5:$A$11,0)),"")</f>
        <v>2</v>
      </c>
      <c r="O166" s="19" t="n">
        <f aca="false">IF(OR(N166="",E166=""),"",EDATE(E166,12*N166))</f>
        <v>46445</v>
      </c>
      <c r="P166" s="19" t="n">
        <f aca="false">IF(E166="","",IFERROR(EDATE(E166,12*INDEX('State Rules'!$E$5:$E$11,MATCH($B166,'State Rules'!$A$5:$A$11,0))),""))</f>
        <v>46810</v>
      </c>
      <c r="Q166" s="10" t="str">
        <f aca="false">IF(O166="","",IFERROR(IF(O166&lt;=INDEX('State Rules'!$I$5:$I$11,MATCH($B166,'State Rules'!$A$5:$A$11,0)),"Yes","No"),""))</f>
        <v>No</v>
      </c>
      <c r="R166" s="10" t="str">
        <f aca="false">IF(P166="","",IFERROR(IF(P166&lt;=INDEX('State Rules'!$I$5:$I$11,MATCH($B166,'State Rules'!$A$5:$A$11,0)),"Yes","No"),""))</f>
        <v>No</v>
      </c>
      <c r="S166" s="7"/>
      <c r="T166" s="7"/>
      <c r="U166" s="21"/>
      <c r="V166" s="21"/>
      <c r="W166" s="21"/>
      <c r="X166" s="7"/>
      <c r="Y166" s="9" t="n">
        <f aca="false">IF(P166="","",IF(P166&lt;=$B$4,N(V166)+N(W166),0))</f>
        <v>0</v>
      </c>
    </row>
    <row r="167" customFormat="false" ht="15" hidden="false" customHeight="false" outlineLevel="0" collapsed="false">
      <c r="A167" s="10" t="s">
        <v>36</v>
      </c>
      <c r="B167" s="11" t="str">
        <f aca="false">IFERROR(INDEX(Summary!$B$7:$B$14,MATCH($A167,Summary!$A$7:$A$14,0)),"")</f>
        <v>PA</v>
      </c>
      <c r="C167" s="10" t="s">
        <v>36</v>
      </c>
      <c r="D167" s="10" t="n">
        <v>42</v>
      </c>
      <c r="E167" s="19" t="n">
        <v>45848</v>
      </c>
      <c r="F167" s="10" t="s">
        <v>406</v>
      </c>
      <c r="G167" s="10"/>
      <c r="H167" s="9" t="n">
        <v>100</v>
      </c>
      <c r="I167" s="10" t="s">
        <v>407</v>
      </c>
      <c r="J167" s="10" t="s">
        <v>84</v>
      </c>
      <c r="K167" s="20" t="n">
        <f aca="false">IF(E167="","",($B$4-E167)/365.25)</f>
        <v>1.24024640657084</v>
      </c>
      <c r="L167" s="10" t="str">
        <f aca="false">IF(K167="","no date",IF(K167&lt;1,"0-1 yrs",IF(K167&lt;2,"1-2 yrs",IF(K167&lt;3,"2-3 yrs",IF(K167&lt;5,"3-5 yrs","5+ yrs")))))</f>
        <v>1-2 yrs</v>
      </c>
      <c r="M167" s="10" t="s">
        <v>85</v>
      </c>
      <c r="N167" s="11" t="n">
        <f aca="false">IFERROR(INDEX('State Rules'!$C$5:$C$11,MATCH($B167,'State Rules'!$A$5:$A$11,0)),"")</f>
        <v>2</v>
      </c>
      <c r="O167" s="19" t="n">
        <f aca="false">IF(OR(N167="",E167=""),"",EDATE(E167,12*N167))</f>
        <v>46578</v>
      </c>
      <c r="P167" s="19" t="n">
        <f aca="false">IF(E167="","",IFERROR(EDATE(E167,12*INDEX('State Rules'!$E$5:$E$11,MATCH($B167,'State Rules'!$A$5:$A$11,0))),""))</f>
        <v>46944</v>
      </c>
      <c r="Q167" s="10" t="str">
        <f aca="false">IF(O167="","",IFERROR(IF(O167&lt;=INDEX('State Rules'!$I$5:$I$11,MATCH($B167,'State Rules'!$A$5:$A$11,0)),"Yes","No"),""))</f>
        <v>No</v>
      </c>
      <c r="R167" s="10" t="str">
        <f aca="false">IF(P167="","",IFERROR(IF(P167&lt;=INDEX('State Rules'!$I$5:$I$11,MATCH($B167,'State Rules'!$A$5:$A$11,0)),"Yes","No"),""))</f>
        <v>No</v>
      </c>
      <c r="S167" s="7"/>
      <c r="T167" s="7"/>
      <c r="U167" s="21"/>
      <c r="V167" s="21"/>
      <c r="W167" s="21"/>
      <c r="X167" s="7"/>
      <c r="Y167" s="9" t="n">
        <f aca="false">IF(P167="","",IF(P167&lt;=$B$4,N(V167)+N(W167),0))</f>
        <v>0</v>
      </c>
    </row>
    <row r="168" customFormat="false" ht="15" hidden="false" customHeight="false" outlineLevel="0" collapsed="false">
      <c r="A168" s="10" t="s">
        <v>36</v>
      </c>
      <c r="B168" s="11" t="str">
        <f aca="false">IFERROR(INDEX(Summary!$B$7:$B$14,MATCH($A168,Summary!$A$7:$A$14,0)),"")</f>
        <v>PA</v>
      </c>
      <c r="C168" s="10" t="s">
        <v>36</v>
      </c>
      <c r="D168" s="10" t="n">
        <v>43</v>
      </c>
      <c r="E168" s="19" t="n">
        <v>45862</v>
      </c>
      <c r="F168" s="10" t="s">
        <v>408</v>
      </c>
      <c r="G168" s="10"/>
      <c r="H168" s="9" t="n">
        <v>49</v>
      </c>
      <c r="I168" s="10" t="s">
        <v>409</v>
      </c>
      <c r="J168" s="10" t="s">
        <v>84</v>
      </c>
      <c r="K168" s="20" t="n">
        <f aca="false">IF(E168="","",($B$4-E168)/365.25)</f>
        <v>1.20191649555099</v>
      </c>
      <c r="L168" s="10" t="str">
        <f aca="false">IF(K168="","no date",IF(K168&lt;1,"0-1 yrs",IF(K168&lt;2,"1-2 yrs",IF(K168&lt;3,"2-3 yrs",IF(K168&lt;5,"3-5 yrs","5+ yrs")))))</f>
        <v>1-2 yrs</v>
      </c>
      <c r="M168" s="10" t="s">
        <v>123</v>
      </c>
      <c r="N168" s="11" t="n">
        <f aca="false">IFERROR(INDEX('State Rules'!$C$5:$C$11,MATCH($B168,'State Rules'!$A$5:$A$11,0)),"")</f>
        <v>2</v>
      </c>
      <c r="O168" s="19" t="n">
        <f aca="false">IF(OR(N168="",E168=""),"",EDATE(E168,12*N168))</f>
        <v>46592</v>
      </c>
      <c r="P168" s="19" t="n">
        <f aca="false">IF(E168="","",IFERROR(EDATE(E168,12*INDEX('State Rules'!$E$5:$E$11,MATCH($B168,'State Rules'!$A$5:$A$11,0))),""))</f>
        <v>46958</v>
      </c>
      <c r="Q168" s="10" t="str">
        <f aca="false">IF(O168="","",IFERROR(IF(O168&lt;=INDEX('State Rules'!$I$5:$I$11,MATCH($B168,'State Rules'!$A$5:$A$11,0)),"Yes","No"),""))</f>
        <v>No</v>
      </c>
      <c r="R168" s="10" t="str">
        <f aca="false">IF(P168="","",IFERROR(IF(P168&lt;=INDEX('State Rules'!$I$5:$I$11,MATCH($B168,'State Rules'!$A$5:$A$11,0)),"Yes","No"),""))</f>
        <v>No</v>
      </c>
      <c r="S168" s="7"/>
      <c r="T168" s="7"/>
      <c r="U168" s="21"/>
      <c r="V168" s="21"/>
      <c r="W168" s="21"/>
      <c r="X168" s="7"/>
      <c r="Y168" s="9" t="n">
        <f aca="false">IF(P168="","",IF(P168&lt;=$B$4,N(V168)+N(W168),0))</f>
        <v>0</v>
      </c>
    </row>
    <row r="169" customFormat="false" ht="15" hidden="false" customHeight="false" outlineLevel="0" collapsed="false">
      <c r="A169" s="10" t="s">
        <v>36</v>
      </c>
      <c r="B169" s="11" t="str">
        <f aca="false">IFERROR(INDEX(Summary!$B$7:$B$14,MATCH($A169,Summary!$A$7:$A$14,0)),"")</f>
        <v>PA</v>
      </c>
      <c r="C169" s="10" t="s">
        <v>36</v>
      </c>
      <c r="D169" s="10" t="n">
        <v>44</v>
      </c>
      <c r="E169" s="19" t="n">
        <v>45862</v>
      </c>
      <c r="F169" s="10" t="s">
        <v>410</v>
      </c>
      <c r="G169" s="10"/>
      <c r="H169" s="9" t="n">
        <v>451</v>
      </c>
      <c r="I169" s="10" t="s">
        <v>411</v>
      </c>
      <c r="J169" s="10" t="s">
        <v>84</v>
      </c>
      <c r="K169" s="20" t="n">
        <f aca="false">IF(E169="","",($B$4-E169)/365.25)</f>
        <v>1.20191649555099</v>
      </c>
      <c r="L169" s="10" t="str">
        <f aca="false">IF(K169="","no date",IF(K169&lt;1,"0-1 yrs",IF(K169&lt;2,"1-2 yrs",IF(K169&lt;3,"2-3 yrs",IF(K169&lt;5,"3-5 yrs","5+ yrs")))))</f>
        <v>1-2 yrs</v>
      </c>
      <c r="M169" s="10" t="s">
        <v>85</v>
      </c>
      <c r="N169" s="11" t="n">
        <f aca="false">IFERROR(INDEX('State Rules'!$C$5:$C$11,MATCH($B169,'State Rules'!$A$5:$A$11,0)),"")</f>
        <v>2</v>
      </c>
      <c r="O169" s="19" t="n">
        <f aca="false">IF(OR(N169="",E169=""),"",EDATE(E169,12*N169))</f>
        <v>46592</v>
      </c>
      <c r="P169" s="19" t="n">
        <f aca="false">IF(E169="","",IFERROR(EDATE(E169,12*INDEX('State Rules'!$E$5:$E$11,MATCH($B169,'State Rules'!$A$5:$A$11,0))),""))</f>
        <v>46958</v>
      </c>
      <c r="Q169" s="10" t="str">
        <f aca="false">IF(O169="","",IFERROR(IF(O169&lt;=INDEX('State Rules'!$I$5:$I$11,MATCH($B169,'State Rules'!$A$5:$A$11,0)),"Yes","No"),""))</f>
        <v>No</v>
      </c>
      <c r="R169" s="10" t="str">
        <f aca="false">IF(P169="","",IFERROR(IF(P169&lt;=INDEX('State Rules'!$I$5:$I$11,MATCH($B169,'State Rules'!$A$5:$A$11,0)),"Yes","No"),""))</f>
        <v>No</v>
      </c>
      <c r="S169" s="7"/>
      <c r="T169" s="7"/>
      <c r="U169" s="21"/>
      <c r="V169" s="21"/>
      <c r="W169" s="21"/>
      <c r="X169" s="7"/>
      <c r="Y169" s="9" t="n">
        <f aca="false">IF(P169="","",IF(P169&lt;=$B$4,N(V169)+N(W169),0))</f>
        <v>0</v>
      </c>
    </row>
    <row r="170" customFormat="false" ht="15" hidden="false" customHeight="false" outlineLevel="0" collapsed="false">
      <c r="A170" s="10" t="s">
        <v>36</v>
      </c>
      <c r="B170" s="11" t="str">
        <f aca="false">IFERROR(INDEX(Summary!$B$7:$B$14,MATCH($A170,Summary!$A$7:$A$14,0)),"")</f>
        <v>PA</v>
      </c>
      <c r="C170" s="10" t="s">
        <v>36</v>
      </c>
      <c r="D170" s="10" t="n">
        <v>45</v>
      </c>
      <c r="E170" s="19" t="n">
        <v>45873</v>
      </c>
      <c r="F170" s="10" t="s">
        <v>412</v>
      </c>
      <c r="G170" s="10"/>
      <c r="H170" s="9" t="n">
        <v>595</v>
      </c>
      <c r="I170" s="10" t="s">
        <v>413</v>
      </c>
      <c r="J170" s="10" t="s">
        <v>84</v>
      </c>
      <c r="K170" s="20" t="n">
        <f aca="false">IF(E170="","",($B$4-E170)/365.25)</f>
        <v>1.17180013689254</v>
      </c>
      <c r="L170" s="10" t="str">
        <f aca="false">IF(K170="","no date",IF(K170&lt;1,"0-1 yrs",IF(K170&lt;2,"1-2 yrs",IF(K170&lt;3,"2-3 yrs",IF(K170&lt;5,"3-5 yrs","5+ yrs")))))</f>
        <v>1-2 yrs</v>
      </c>
      <c r="M170" s="10" t="s">
        <v>123</v>
      </c>
      <c r="N170" s="11" t="n">
        <f aca="false">IFERROR(INDEX('State Rules'!$C$5:$C$11,MATCH($B170,'State Rules'!$A$5:$A$11,0)),"")</f>
        <v>2</v>
      </c>
      <c r="O170" s="19" t="n">
        <f aca="false">IF(OR(N170="",E170=""),"",EDATE(E170,12*N170))</f>
        <v>46603</v>
      </c>
      <c r="P170" s="19" t="n">
        <f aca="false">IF(E170="","",IFERROR(EDATE(E170,12*INDEX('State Rules'!$E$5:$E$11,MATCH($B170,'State Rules'!$A$5:$A$11,0))),""))</f>
        <v>46969</v>
      </c>
      <c r="Q170" s="10" t="str">
        <f aca="false">IF(O170="","",IFERROR(IF(O170&lt;=INDEX('State Rules'!$I$5:$I$11,MATCH($B170,'State Rules'!$A$5:$A$11,0)),"Yes","No"),""))</f>
        <v>No</v>
      </c>
      <c r="R170" s="10" t="str">
        <f aca="false">IF(P170="","",IFERROR(IF(P170&lt;=INDEX('State Rules'!$I$5:$I$11,MATCH($B170,'State Rules'!$A$5:$A$11,0)),"Yes","No"),""))</f>
        <v>No</v>
      </c>
      <c r="S170" s="7"/>
      <c r="T170" s="7"/>
      <c r="U170" s="21"/>
      <c r="V170" s="21"/>
      <c r="W170" s="21"/>
      <c r="X170" s="7"/>
      <c r="Y170" s="9" t="n">
        <f aca="false">IF(P170="","",IF(P170&lt;=$B$4,N(V170)+N(W170),0))</f>
        <v>0</v>
      </c>
    </row>
    <row r="171" customFormat="false" ht="15" hidden="false" customHeight="false" outlineLevel="0" collapsed="false">
      <c r="A171" s="10" t="s">
        <v>36</v>
      </c>
      <c r="B171" s="11" t="str">
        <f aca="false">IFERROR(INDEX(Summary!$B$7:$B$14,MATCH($A171,Summary!$A$7:$A$14,0)),"")</f>
        <v>PA</v>
      </c>
      <c r="C171" s="10" t="s">
        <v>36</v>
      </c>
      <c r="D171" s="10" t="n">
        <v>46</v>
      </c>
      <c r="E171" s="19" t="n">
        <v>45888</v>
      </c>
      <c r="F171" s="10" t="s">
        <v>414</v>
      </c>
      <c r="G171" s="10"/>
      <c r="H171" s="9" t="n">
        <v>644</v>
      </c>
      <c r="I171" s="10" t="s">
        <v>415</v>
      </c>
      <c r="J171" s="10" t="s">
        <v>84</v>
      </c>
      <c r="K171" s="20" t="n">
        <f aca="false">IF(E171="","",($B$4-E171)/365.25)</f>
        <v>1.13073237508556</v>
      </c>
      <c r="L171" s="10" t="str">
        <f aca="false">IF(K171="","no date",IF(K171&lt;1,"0-1 yrs",IF(K171&lt;2,"1-2 yrs",IF(K171&lt;3,"2-3 yrs",IF(K171&lt;5,"3-5 yrs","5+ yrs")))))</f>
        <v>1-2 yrs</v>
      </c>
      <c r="M171" s="10" t="s">
        <v>123</v>
      </c>
      <c r="N171" s="11" t="n">
        <f aca="false">IFERROR(INDEX('State Rules'!$C$5:$C$11,MATCH($B171,'State Rules'!$A$5:$A$11,0)),"")</f>
        <v>2</v>
      </c>
      <c r="O171" s="19" t="n">
        <f aca="false">IF(OR(N171="",E171=""),"",EDATE(E171,12*N171))</f>
        <v>46618</v>
      </c>
      <c r="P171" s="19" t="n">
        <f aca="false">IF(E171="","",IFERROR(EDATE(E171,12*INDEX('State Rules'!$E$5:$E$11,MATCH($B171,'State Rules'!$A$5:$A$11,0))),""))</f>
        <v>46984</v>
      </c>
      <c r="Q171" s="10" t="str">
        <f aca="false">IF(O171="","",IFERROR(IF(O171&lt;=INDEX('State Rules'!$I$5:$I$11,MATCH($B171,'State Rules'!$A$5:$A$11,0)),"Yes","No"),""))</f>
        <v>No</v>
      </c>
      <c r="R171" s="10" t="str">
        <f aca="false">IF(P171="","",IFERROR(IF(P171&lt;=INDEX('State Rules'!$I$5:$I$11,MATCH($B171,'State Rules'!$A$5:$A$11,0)),"Yes","No"),""))</f>
        <v>No</v>
      </c>
      <c r="S171" s="7"/>
      <c r="T171" s="7"/>
      <c r="U171" s="21"/>
      <c r="V171" s="21"/>
      <c r="W171" s="21"/>
      <c r="X171" s="7"/>
      <c r="Y171" s="9" t="n">
        <f aca="false">IF(P171="","",IF(P171&lt;=$B$4,N(V171)+N(W171),0))</f>
        <v>0</v>
      </c>
    </row>
    <row r="172" customFormat="false" ht="15" hidden="false" customHeight="false" outlineLevel="0" collapsed="false">
      <c r="A172" s="10" t="s">
        <v>36</v>
      </c>
      <c r="B172" s="11" t="str">
        <f aca="false">IFERROR(INDEX(Summary!$B$7:$B$14,MATCH($A172,Summary!$A$7:$A$14,0)),"")</f>
        <v>PA</v>
      </c>
      <c r="C172" s="10" t="s">
        <v>36</v>
      </c>
      <c r="D172" s="10" t="n">
        <v>47</v>
      </c>
      <c r="E172" s="19" t="n">
        <v>45974</v>
      </c>
      <c r="F172" s="10" t="s">
        <v>416</v>
      </c>
      <c r="G172" s="10"/>
      <c r="H172" s="9" t="n">
        <v>2000</v>
      </c>
      <c r="I172" s="10" t="s">
        <v>417</v>
      </c>
      <c r="J172" s="10" t="s">
        <v>84</v>
      </c>
      <c r="K172" s="20" t="n">
        <f aca="false">IF(E172="","",($B$4-E172)/365.25)</f>
        <v>0.895277207392197</v>
      </c>
      <c r="L172" s="10" t="str">
        <f aca="false">IF(K172="","no date",IF(K172&lt;1,"0-1 yrs",IF(K172&lt;2,"1-2 yrs",IF(K172&lt;3,"2-3 yrs",IF(K172&lt;5,"3-5 yrs","5+ yrs")))))</f>
        <v>0-1 yrs</v>
      </c>
      <c r="M172" s="10" t="s">
        <v>85</v>
      </c>
      <c r="N172" s="11" t="n">
        <f aca="false">IFERROR(INDEX('State Rules'!$C$5:$C$11,MATCH($B172,'State Rules'!$A$5:$A$11,0)),"")</f>
        <v>2</v>
      </c>
      <c r="O172" s="19" t="n">
        <f aca="false">IF(OR(N172="",E172=""),"",EDATE(E172,12*N172))</f>
        <v>46704</v>
      </c>
      <c r="P172" s="19" t="n">
        <f aca="false">IF(E172="","",IFERROR(EDATE(E172,12*INDEX('State Rules'!$E$5:$E$11,MATCH($B172,'State Rules'!$A$5:$A$11,0))),""))</f>
        <v>47070</v>
      </c>
      <c r="Q172" s="10" t="str">
        <f aca="false">IF(O172="","",IFERROR(IF(O172&lt;=INDEX('State Rules'!$I$5:$I$11,MATCH($B172,'State Rules'!$A$5:$A$11,0)),"Yes","No"),""))</f>
        <v>No</v>
      </c>
      <c r="R172" s="10" t="str">
        <f aca="false">IF(P172="","",IFERROR(IF(P172&lt;=INDEX('State Rules'!$I$5:$I$11,MATCH($B172,'State Rules'!$A$5:$A$11,0)),"Yes","No"),""))</f>
        <v>No</v>
      </c>
      <c r="S172" s="7"/>
      <c r="T172" s="7"/>
      <c r="U172" s="21"/>
      <c r="V172" s="21"/>
      <c r="W172" s="21"/>
      <c r="X172" s="7"/>
      <c r="Y172" s="9" t="n">
        <f aca="false">IF(P172="","",IF(P172&lt;=$B$4,N(V172)+N(W172),0))</f>
        <v>0</v>
      </c>
    </row>
    <row r="173" customFormat="false" ht="15" hidden="false" customHeight="false" outlineLevel="0" collapsed="false">
      <c r="A173" s="10" t="s">
        <v>36</v>
      </c>
      <c r="B173" s="11" t="str">
        <f aca="false">IFERROR(INDEX(Summary!$B$7:$B$14,MATCH($A173,Summary!$A$7:$A$14,0)),"")</f>
        <v>PA</v>
      </c>
      <c r="C173" s="10" t="s">
        <v>36</v>
      </c>
      <c r="D173" s="10" t="n">
        <v>48</v>
      </c>
      <c r="E173" s="19" t="n">
        <v>45985</v>
      </c>
      <c r="F173" s="10" t="s">
        <v>401</v>
      </c>
      <c r="G173" s="10"/>
      <c r="H173" s="9" t="n">
        <v>1462.12</v>
      </c>
      <c r="I173" s="10" t="s">
        <v>418</v>
      </c>
      <c r="J173" s="10" t="s">
        <v>84</v>
      </c>
      <c r="K173" s="20" t="n">
        <f aca="false">IF(E173="","",($B$4-E173)/365.25)</f>
        <v>0.865160848733744</v>
      </c>
      <c r="L173" s="10" t="str">
        <f aca="false">IF(K173="","no date",IF(K173&lt;1,"0-1 yrs",IF(K173&lt;2,"1-2 yrs",IF(K173&lt;3,"2-3 yrs",IF(K173&lt;5,"3-5 yrs","5+ yrs")))))</f>
        <v>0-1 yrs</v>
      </c>
      <c r="M173" s="10" t="s">
        <v>85</v>
      </c>
      <c r="N173" s="11" t="n">
        <f aca="false">IFERROR(INDEX('State Rules'!$C$5:$C$11,MATCH($B173,'State Rules'!$A$5:$A$11,0)),"")</f>
        <v>2</v>
      </c>
      <c r="O173" s="19" t="n">
        <f aca="false">IF(OR(N173="",E173=""),"",EDATE(E173,12*N173))</f>
        <v>46715</v>
      </c>
      <c r="P173" s="19" t="n">
        <f aca="false">IF(E173="","",IFERROR(EDATE(E173,12*INDEX('State Rules'!$E$5:$E$11,MATCH($B173,'State Rules'!$A$5:$A$11,0))),""))</f>
        <v>47081</v>
      </c>
      <c r="Q173" s="10" t="str">
        <f aca="false">IF(O173="","",IFERROR(IF(O173&lt;=INDEX('State Rules'!$I$5:$I$11,MATCH($B173,'State Rules'!$A$5:$A$11,0)),"Yes","No"),""))</f>
        <v>No</v>
      </c>
      <c r="R173" s="10" t="str">
        <f aca="false">IF(P173="","",IFERROR(IF(P173&lt;=INDEX('State Rules'!$I$5:$I$11,MATCH($B173,'State Rules'!$A$5:$A$11,0)),"Yes","No"),""))</f>
        <v>No</v>
      </c>
      <c r="S173" s="7"/>
      <c r="T173" s="7"/>
      <c r="U173" s="21"/>
      <c r="V173" s="21"/>
      <c r="W173" s="21"/>
      <c r="X173" s="7"/>
      <c r="Y173" s="9" t="n">
        <f aca="false">IF(P173="","",IF(P173&lt;=$B$4,N(V173)+N(W173),0))</f>
        <v>0</v>
      </c>
    </row>
    <row r="174" customFormat="false" ht="15" hidden="false" customHeight="false" outlineLevel="0" collapsed="false">
      <c r="A174" s="10" t="s">
        <v>36</v>
      </c>
      <c r="B174" s="11" t="str">
        <f aca="false">IFERROR(INDEX(Summary!$B$7:$B$14,MATCH($A174,Summary!$A$7:$A$14,0)),"")</f>
        <v>PA</v>
      </c>
      <c r="C174" s="10" t="s">
        <v>36</v>
      </c>
      <c r="D174" s="10" t="n">
        <v>49</v>
      </c>
      <c r="E174" s="19" t="n">
        <v>46008</v>
      </c>
      <c r="F174" s="10" t="s">
        <v>419</v>
      </c>
      <c r="G174" s="10"/>
      <c r="H174" s="9" t="n">
        <v>1060</v>
      </c>
      <c r="I174" s="10" t="s">
        <v>420</v>
      </c>
      <c r="J174" s="10" t="s">
        <v>84</v>
      </c>
      <c r="K174" s="20" t="n">
        <f aca="false">IF(E174="","",($B$4-E174)/365.25)</f>
        <v>0.802190280629706</v>
      </c>
      <c r="L174" s="10" t="str">
        <f aca="false">IF(K174="","no date",IF(K174&lt;1,"0-1 yrs",IF(K174&lt;2,"1-2 yrs",IF(K174&lt;3,"2-3 yrs",IF(K174&lt;5,"3-5 yrs","5+ yrs")))))</f>
        <v>0-1 yrs</v>
      </c>
      <c r="M174" s="10" t="s">
        <v>85</v>
      </c>
      <c r="N174" s="11" t="n">
        <f aca="false">IFERROR(INDEX('State Rules'!$C$5:$C$11,MATCH($B174,'State Rules'!$A$5:$A$11,0)),"")</f>
        <v>2</v>
      </c>
      <c r="O174" s="19" t="n">
        <f aca="false">IF(OR(N174="",E174=""),"",EDATE(E174,12*N174))</f>
        <v>46738</v>
      </c>
      <c r="P174" s="19" t="n">
        <f aca="false">IF(E174="","",IFERROR(EDATE(E174,12*INDEX('State Rules'!$E$5:$E$11,MATCH($B174,'State Rules'!$A$5:$A$11,0))),""))</f>
        <v>47104</v>
      </c>
      <c r="Q174" s="10" t="str">
        <f aca="false">IF(O174="","",IFERROR(IF(O174&lt;=INDEX('State Rules'!$I$5:$I$11,MATCH($B174,'State Rules'!$A$5:$A$11,0)),"Yes","No"),""))</f>
        <v>No</v>
      </c>
      <c r="R174" s="10" t="str">
        <f aca="false">IF(P174="","",IFERROR(IF(P174&lt;=INDEX('State Rules'!$I$5:$I$11,MATCH($B174,'State Rules'!$A$5:$A$11,0)),"Yes","No"),""))</f>
        <v>No</v>
      </c>
      <c r="S174" s="7"/>
      <c r="T174" s="7"/>
      <c r="U174" s="21"/>
      <c r="V174" s="21"/>
      <c r="W174" s="21"/>
      <c r="X174" s="7"/>
      <c r="Y174" s="9" t="n">
        <f aca="false">IF(P174="","",IF(P174&lt;=$B$4,N(V174)+N(W174),0))</f>
        <v>0</v>
      </c>
    </row>
    <row r="175" customFormat="false" ht="15" hidden="false" customHeight="false" outlineLevel="0" collapsed="false">
      <c r="A175" s="10" t="s">
        <v>36</v>
      </c>
      <c r="B175" s="11" t="str">
        <f aca="false">IFERROR(INDEX(Summary!$B$7:$B$14,MATCH($A175,Summary!$A$7:$A$14,0)),"")</f>
        <v>PA</v>
      </c>
      <c r="C175" s="10" t="s">
        <v>36</v>
      </c>
      <c r="D175" s="10" t="n">
        <v>50</v>
      </c>
      <c r="E175" s="19" t="n">
        <v>46055</v>
      </c>
      <c r="F175" s="10" t="s">
        <v>401</v>
      </c>
      <c r="G175" s="10"/>
      <c r="H175" s="9" t="n">
        <v>625</v>
      </c>
      <c r="I175" s="10"/>
      <c r="J175" s="10" t="s">
        <v>84</v>
      </c>
      <c r="K175" s="20" t="n">
        <f aca="false">IF(E175="","",($B$4-E175)/365.25)</f>
        <v>0.673511293634497</v>
      </c>
      <c r="L175" s="10" t="str">
        <f aca="false">IF(K175="","no date",IF(K175&lt;1,"0-1 yrs",IF(K175&lt;2,"1-2 yrs",IF(K175&lt;3,"2-3 yrs",IF(K175&lt;5,"3-5 yrs","5+ yrs")))))</f>
        <v>0-1 yrs</v>
      </c>
      <c r="M175" s="10" t="s">
        <v>85</v>
      </c>
      <c r="N175" s="11" t="n">
        <f aca="false">IFERROR(INDEX('State Rules'!$C$5:$C$11,MATCH($B175,'State Rules'!$A$5:$A$11,0)),"")</f>
        <v>2</v>
      </c>
      <c r="O175" s="19" t="n">
        <f aca="false">IF(OR(N175="",E175=""),"",EDATE(E175,12*N175))</f>
        <v>46785</v>
      </c>
      <c r="P175" s="19" t="n">
        <f aca="false">IF(E175="","",IFERROR(EDATE(E175,12*INDEX('State Rules'!$E$5:$E$11,MATCH($B175,'State Rules'!$A$5:$A$11,0))),""))</f>
        <v>47151</v>
      </c>
      <c r="Q175" s="10" t="str">
        <f aca="false">IF(O175="","",IFERROR(IF(O175&lt;=INDEX('State Rules'!$I$5:$I$11,MATCH($B175,'State Rules'!$A$5:$A$11,0)),"Yes","No"),""))</f>
        <v>No</v>
      </c>
      <c r="R175" s="10" t="str">
        <f aca="false">IF(P175="","",IFERROR(IF(P175&lt;=INDEX('State Rules'!$I$5:$I$11,MATCH($B175,'State Rules'!$A$5:$A$11,0)),"Yes","No"),""))</f>
        <v>No</v>
      </c>
      <c r="S175" s="7"/>
      <c r="T175" s="7"/>
      <c r="U175" s="21"/>
      <c r="V175" s="21"/>
      <c r="W175" s="21"/>
      <c r="X175" s="7"/>
      <c r="Y175" s="9" t="n">
        <f aca="false">IF(P175="","",IF(P175&lt;=$B$4,N(V175)+N(W175),0))</f>
        <v>0</v>
      </c>
    </row>
    <row r="176" customFormat="false" ht="15" hidden="false" customHeight="false" outlineLevel="0" collapsed="false">
      <c r="A176" s="10" t="s">
        <v>36</v>
      </c>
      <c r="B176" s="11" t="str">
        <f aca="false">IFERROR(INDEX(Summary!$B$7:$B$14,MATCH($A176,Summary!$A$7:$A$14,0)),"")</f>
        <v>PA</v>
      </c>
      <c r="C176" s="10" t="s">
        <v>36</v>
      </c>
      <c r="D176" s="10" t="n">
        <v>51</v>
      </c>
      <c r="E176" s="19" t="n">
        <v>46132</v>
      </c>
      <c r="F176" s="10" t="s">
        <v>421</v>
      </c>
      <c r="G176" s="10"/>
      <c r="H176" s="9" t="n">
        <v>1000</v>
      </c>
      <c r="I176" s="10"/>
      <c r="J176" s="10" t="s">
        <v>84</v>
      </c>
      <c r="K176" s="20" t="n">
        <f aca="false">IF(E176="","",($B$4-E176)/365.25)</f>
        <v>0.462696783025325</v>
      </c>
      <c r="L176" s="10" t="str">
        <f aca="false">IF(K176="","no date",IF(K176&lt;1,"0-1 yrs",IF(K176&lt;2,"1-2 yrs",IF(K176&lt;3,"2-3 yrs",IF(K176&lt;5,"3-5 yrs","5+ yrs")))))</f>
        <v>0-1 yrs</v>
      </c>
      <c r="M176" s="10" t="s">
        <v>85</v>
      </c>
      <c r="N176" s="11" t="n">
        <f aca="false">IFERROR(INDEX('State Rules'!$C$5:$C$11,MATCH($B176,'State Rules'!$A$5:$A$11,0)),"")</f>
        <v>2</v>
      </c>
      <c r="O176" s="19" t="n">
        <f aca="false">IF(OR(N176="",E176=""),"",EDATE(E176,12*N176))</f>
        <v>46863</v>
      </c>
      <c r="P176" s="19" t="n">
        <f aca="false">IF(E176="","",IFERROR(EDATE(E176,12*INDEX('State Rules'!$E$5:$E$11,MATCH($B176,'State Rules'!$A$5:$A$11,0))),""))</f>
        <v>47228</v>
      </c>
      <c r="Q176" s="10" t="str">
        <f aca="false">IF(O176="","",IFERROR(IF(O176&lt;=INDEX('State Rules'!$I$5:$I$11,MATCH($B176,'State Rules'!$A$5:$A$11,0)),"Yes","No"),""))</f>
        <v>No</v>
      </c>
      <c r="R176" s="10" t="str">
        <f aca="false">IF(P176="","",IFERROR(IF(P176&lt;=INDEX('State Rules'!$I$5:$I$11,MATCH($B176,'State Rules'!$A$5:$A$11,0)),"Yes","No"),""))</f>
        <v>No</v>
      </c>
      <c r="S176" s="7"/>
      <c r="T176" s="7"/>
      <c r="U176" s="21"/>
      <c r="V176" s="21"/>
      <c r="W176" s="21"/>
      <c r="X176" s="7"/>
      <c r="Y176" s="9" t="n">
        <f aca="false">IF(P176="","",IF(P176&lt;=$B$4,N(V176)+N(W176),0))</f>
        <v>0</v>
      </c>
    </row>
    <row r="177" customFormat="false" ht="15" hidden="false" customHeight="false" outlineLevel="0" collapsed="false">
      <c r="A177" s="10" t="s">
        <v>36</v>
      </c>
      <c r="B177" s="11" t="str">
        <f aca="false">IFERROR(INDEX(Summary!$B$7:$B$14,MATCH($A177,Summary!$A$7:$A$14,0)),"")</f>
        <v>PA</v>
      </c>
      <c r="C177" s="10" t="s">
        <v>36</v>
      </c>
      <c r="D177" s="10" t="n">
        <v>52</v>
      </c>
      <c r="E177" s="19" t="n">
        <v>46189</v>
      </c>
      <c r="F177" s="10" t="s">
        <v>401</v>
      </c>
      <c r="G177" s="10"/>
      <c r="H177" s="9" t="n">
        <v>595</v>
      </c>
      <c r="I177" s="10"/>
      <c r="J177" s="10" t="s">
        <v>84</v>
      </c>
      <c r="K177" s="20" t="n">
        <f aca="false">IF(E177="","",($B$4-E177)/365.25)</f>
        <v>0.306639288158795</v>
      </c>
      <c r="L177" s="10" t="str">
        <f aca="false">IF(K177="","no date",IF(K177&lt;1,"0-1 yrs",IF(K177&lt;2,"1-2 yrs",IF(K177&lt;3,"2-3 yrs",IF(K177&lt;5,"3-5 yrs","5+ yrs")))))</f>
        <v>0-1 yrs</v>
      </c>
      <c r="M177" s="10" t="s">
        <v>123</v>
      </c>
      <c r="N177" s="11" t="n">
        <f aca="false">IFERROR(INDEX('State Rules'!$C$5:$C$11,MATCH($B177,'State Rules'!$A$5:$A$11,0)),"")</f>
        <v>2</v>
      </c>
      <c r="O177" s="19" t="n">
        <f aca="false">IF(OR(N177="",E177=""),"",EDATE(E177,12*N177))</f>
        <v>46920</v>
      </c>
      <c r="P177" s="19" t="n">
        <f aca="false">IF(E177="","",IFERROR(EDATE(E177,12*INDEX('State Rules'!$E$5:$E$11,MATCH($B177,'State Rules'!$A$5:$A$11,0))),""))</f>
        <v>47285</v>
      </c>
      <c r="Q177" s="10" t="str">
        <f aca="false">IF(O177="","",IFERROR(IF(O177&lt;=INDEX('State Rules'!$I$5:$I$11,MATCH($B177,'State Rules'!$A$5:$A$11,0)),"Yes","No"),""))</f>
        <v>No</v>
      </c>
      <c r="R177" s="10" t="str">
        <f aca="false">IF(P177="","",IFERROR(IF(P177&lt;=INDEX('State Rules'!$I$5:$I$11,MATCH($B177,'State Rules'!$A$5:$A$11,0)),"Yes","No"),""))</f>
        <v>No</v>
      </c>
      <c r="S177" s="7"/>
      <c r="T177" s="7"/>
      <c r="U177" s="21"/>
      <c r="V177" s="21"/>
      <c r="W177" s="21"/>
      <c r="X177" s="7"/>
      <c r="Y177" s="9" t="n">
        <f aca="false">IF(P177="","",IF(P177&lt;=$B$4,N(V177)+N(W177),0))</f>
        <v>0</v>
      </c>
    </row>
    <row r="178" customFormat="false" ht="15" hidden="false" customHeight="false" outlineLevel="0" collapsed="false">
      <c r="A178" s="10" t="s">
        <v>36</v>
      </c>
      <c r="B178" s="11" t="str">
        <f aca="false">IFERROR(INDEX(Summary!$B$7:$B$14,MATCH($A178,Summary!$A$7:$A$14,0)),"")</f>
        <v>PA</v>
      </c>
      <c r="C178" s="10" t="s">
        <v>36</v>
      </c>
      <c r="D178" s="10" t="n">
        <v>53</v>
      </c>
      <c r="E178" s="19" t="n">
        <v>46218</v>
      </c>
      <c r="F178" s="10" t="s">
        <v>422</v>
      </c>
      <c r="G178" s="10"/>
      <c r="H178" s="9" t="n">
        <v>595</v>
      </c>
      <c r="I178" s="10" t="s">
        <v>423</v>
      </c>
      <c r="J178" s="10" t="s">
        <v>84</v>
      </c>
      <c r="K178" s="20" t="n">
        <f aca="false">IF(E178="","",($B$4-E178)/365.25)</f>
        <v>0.227241615331964</v>
      </c>
      <c r="L178" s="10" t="str">
        <f aca="false">IF(K178="","no date",IF(K178&lt;1,"0-1 yrs",IF(K178&lt;2,"1-2 yrs",IF(K178&lt;3,"2-3 yrs",IF(K178&lt;5,"3-5 yrs","5+ yrs")))))</f>
        <v>0-1 yrs</v>
      </c>
      <c r="M178" s="10" t="s">
        <v>123</v>
      </c>
      <c r="N178" s="11" t="n">
        <f aca="false">IFERROR(INDEX('State Rules'!$C$5:$C$11,MATCH($B178,'State Rules'!$A$5:$A$11,0)),"")</f>
        <v>2</v>
      </c>
      <c r="O178" s="19" t="n">
        <f aca="false">IF(OR(N178="",E178=""),"",EDATE(E178,12*N178))</f>
        <v>46949</v>
      </c>
      <c r="P178" s="19" t="n">
        <f aca="false">IF(E178="","",IFERROR(EDATE(E178,12*INDEX('State Rules'!$E$5:$E$11,MATCH($B178,'State Rules'!$A$5:$A$11,0))),""))</f>
        <v>47314</v>
      </c>
      <c r="Q178" s="10" t="str">
        <f aca="false">IF(O178="","",IFERROR(IF(O178&lt;=INDEX('State Rules'!$I$5:$I$11,MATCH($B178,'State Rules'!$A$5:$A$11,0)),"Yes","No"),""))</f>
        <v>No</v>
      </c>
      <c r="R178" s="10" t="str">
        <f aca="false">IF(P178="","",IFERROR(IF(P178&lt;=INDEX('State Rules'!$I$5:$I$11,MATCH($B178,'State Rules'!$A$5:$A$11,0)),"Yes","No"),""))</f>
        <v>No</v>
      </c>
      <c r="S178" s="7"/>
      <c r="T178" s="7"/>
      <c r="U178" s="21"/>
      <c r="V178" s="21"/>
      <c r="W178" s="21"/>
      <c r="X178" s="7"/>
      <c r="Y178" s="9" t="n">
        <f aca="false">IF(P178="","",IF(P178&lt;=$B$4,N(V178)+N(W178),0))</f>
        <v>0</v>
      </c>
    </row>
    <row r="179" customFormat="false" ht="15" hidden="false" customHeight="false" outlineLevel="0" collapsed="false">
      <c r="A179" s="10" t="s">
        <v>36</v>
      </c>
      <c r="B179" s="11" t="str">
        <f aca="false">IFERROR(INDEX(Summary!$B$7:$B$14,MATCH($A179,Summary!$A$7:$A$14,0)),"")</f>
        <v>PA</v>
      </c>
      <c r="C179" s="10" t="s">
        <v>36</v>
      </c>
      <c r="D179" s="10" t="n">
        <v>54</v>
      </c>
      <c r="E179" s="19" t="n">
        <v>46227</v>
      </c>
      <c r="F179" s="10" t="s">
        <v>424</v>
      </c>
      <c r="G179" s="10"/>
      <c r="H179" s="9" t="n">
        <v>1250</v>
      </c>
      <c r="I179" s="10"/>
      <c r="J179" s="10" t="s">
        <v>84</v>
      </c>
      <c r="K179" s="20" t="n">
        <f aca="false">IF(E179="","",($B$4-E179)/365.25)</f>
        <v>0.202600958247776</v>
      </c>
      <c r="L179" s="10" t="str">
        <f aca="false">IF(K179="","no date",IF(K179&lt;1,"0-1 yrs",IF(K179&lt;2,"1-2 yrs",IF(K179&lt;3,"2-3 yrs",IF(K179&lt;5,"3-5 yrs","5+ yrs")))))</f>
        <v>0-1 yrs</v>
      </c>
      <c r="M179" s="10" t="s">
        <v>85</v>
      </c>
      <c r="N179" s="11" t="n">
        <f aca="false">IFERROR(INDEX('State Rules'!$C$5:$C$11,MATCH($B179,'State Rules'!$A$5:$A$11,0)),"")</f>
        <v>2</v>
      </c>
      <c r="O179" s="19" t="n">
        <f aca="false">IF(OR(N179="",E179=""),"",EDATE(E179,12*N179))</f>
        <v>46958</v>
      </c>
      <c r="P179" s="19" t="n">
        <f aca="false">IF(E179="","",IFERROR(EDATE(E179,12*INDEX('State Rules'!$E$5:$E$11,MATCH($B179,'State Rules'!$A$5:$A$11,0))),""))</f>
        <v>47323</v>
      </c>
      <c r="Q179" s="10" t="str">
        <f aca="false">IF(O179="","",IFERROR(IF(O179&lt;=INDEX('State Rules'!$I$5:$I$11,MATCH($B179,'State Rules'!$A$5:$A$11,0)),"Yes","No"),""))</f>
        <v>No</v>
      </c>
      <c r="R179" s="10" t="str">
        <f aca="false">IF(P179="","",IFERROR(IF(P179&lt;=INDEX('State Rules'!$I$5:$I$11,MATCH($B179,'State Rules'!$A$5:$A$11,0)),"Yes","No"),""))</f>
        <v>No</v>
      </c>
      <c r="S179" s="7"/>
      <c r="T179" s="7"/>
      <c r="U179" s="21"/>
      <c r="V179" s="21"/>
      <c r="W179" s="21"/>
      <c r="X179" s="7"/>
      <c r="Y179" s="9" t="n">
        <f aca="false">IF(P179="","",IF(P179&lt;=$B$4,N(V179)+N(W179),0))</f>
        <v>0</v>
      </c>
    </row>
    <row r="180" customFormat="false" ht="15" hidden="false" customHeight="false" outlineLevel="0" collapsed="false">
      <c r="A180" s="10" t="s">
        <v>36</v>
      </c>
      <c r="B180" s="11" t="str">
        <f aca="false">IFERROR(INDEX(Summary!$B$7:$B$14,MATCH($A180,Summary!$A$7:$A$14,0)),"")</f>
        <v>PA</v>
      </c>
      <c r="C180" s="10" t="s">
        <v>36</v>
      </c>
      <c r="D180" s="10" t="n">
        <v>58</v>
      </c>
      <c r="E180" s="19" t="n">
        <v>46248</v>
      </c>
      <c r="F180" s="10" t="s">
        <v>424</v>
      </c>
      <c r="G180" s="10"/>
      <c r="H180" s="9" t="n">
        <v>344</v>
      </c>
      <c r="I180" s="10" t="s">
        <v>425</v>
      </c>
      <c r="J180" s="10" t="s">
        <v>84</v>
      </c>
      <c r="K180" s="20" t="n">
        <f aca="false">IF(E180="","",($B$4-E180)/365.25)</f>
        <v>0.145106091718001</v>
      </c>
      <c r="L180" s="10" t="str">
        <f aca="false">IF(K180="","no date",IF(K180&lt;1,"0-1 yrs",IF(K180&lt;2,"1-2 yrs",IF(K180&lt;3,"2-3 yrs",IF(K180&lt;5,"3-5 yrs","5+ yrs")))))</f>
        <v>0-1 yrs</v>
      </c>
      <c r="M180" s="10" t="s">
        <v>85</v>
      </c>
      <c r="N180" s="11" t="n">
        <f aca="false">IFERROR(INDEX('State Rules'!$C$5:$C$11,MATCH($B180,'State Rules'!$A$5:$A$11,0)),"")</f>
        <v>2</v>
      </c>
      <c r="O180" s="19" t="n">
        <f aca="false">IF(OR(N180="",E180=""),"",EDATE(E180,12*N180))</f>
        <v>46979</v>
      </c>
      <c r="P180" s="19" t="n">
        <f aca="false">IF(E180="","",IFERROR(EDATE(E180,12*INDEX('State Rules'!$E$5:$E$11,MATCH($B180,'State Rules'!$A$5:$A$11,0))),""))</f>
        <v>47344</v>
      </c>
      <c r="Q180" s="10" t="str">
        <f aca="false">IF(O180="","",IFERROR(IF(O180&lt;=INDEX('State Rules'!$I$5:$I$11,MATCH($B180,'State Rules'!$A$5:$A$11,0)),"Yes","No"),""))</f>
        <v>No</v>
      </c>
      <c r="R180" s="10" t="str">
        <f aca="false">IF(P180="","",IFERROR(IF(P180&lt;=INDEX('State Rules'!$I$5:$I$11,MATCH($B180,'State Rules'!$A$5:$A$11,0)),"Yes","No"),""))</f>
        <v>No</v>
      </c>
      <c r="S180" s="7"/>
      <c r="T180" s="7"/>
      <c r="U180" s="21"/>
      <c r="V180" s="21"/>
      <c r="W180" s="21"/>
      <c r="X180" s="7"/>
      <c r="Y180" s="9" t="n">
        <f aca="false">IF(P180="","",IF(P180&lt;=$B$4,N(V180)+N(W180),0))</f>
        <v>0</v>
      </c>
    </row>
    <row r="181" customFormat="false" ht="15" hidden="false" customHeight="false" outlineLevel="0" collapsed="false">
      <c r="A181" s="10" t="s">
        <v>39</v>
      </c>
      <c r="B181" s="11" t="str">
        <f aca="false">IFERROR(INDEX(Summary!$B$7:$B$14,MATCH($A181,Summary!$A$7:$A$14,0)),"")</f>
        <v>FL</v>
      </c>
      <c r="C181" s="10" t="s">
        <v>39</v>
      </c>
      <c r="D181" s="10" t="n">
        <v>22</v>
      </c>
      <c r="E181" s="19" t="n">
        <v>46156</v>
      </c>
      <c r="F181" s="10" t="s">
        <v>426</v>
      </c>
      <c r="G181" s="10"/>
      <c r="H181" s="9" t="n">
        <v>850</v>
      </c>
      <c r="I181" s="10"/>
      <c r="J181" s="10" t="s">
        <v>84</v>
      </c>
      <c r="K181" s="20" t="n">
        <f aca="false">IF(E181="","",($B$4-E181)/365.25)</f>
        <v>0.396988364134155</v>
      </c>
      <c r="L181" s="10" t="str">
        <f aca="false">IF(K181="","no date",IF(K181&lt;1,"0-1 yrs",IF(K181&lt;2,"1-2 yrs",IF(K181&lt;3,"2-3 yrs",IF(K181&lt;5,"3-5 yrs","5+ yrs")))))</f>
        <v>0-1 yrs</v>
      </c>
      <c r="M181" s="10" t="s">
        <v>85</v>
      </c>
      <c r="N181" s="11" t="n">
        <f aca="false">IFERROR(INDEX('State Rules'!$C$5:$C$11,MATCH($B181,'State Rules'!$A$5:$A$11,0)),"")</f>
        <v>1</v>
      </c>
      <c r="O181" s="19" t="n">
        <f aca="false">IF(OR(N181="",E181=""),"",EDATE(E181,12*N181))</f>
        <v>46521</v>
      </c>
      <c r="P181" s="19" t="n">
        <f aca="false">IF(E181="","",IFERROR(EDATE(E181,12*INDEX('State Rules'!$E$5:$E$11,MATCH($B181,'State Rules'!$A$5:$A$11,0))),""))</f>
        <v>47982</v>
      </c>
      <c r="Q181" s="10" t="str">
        <f aca="false">IF(O181="","",IFERROR(IF(O181&lt;=INDEX('State Rules'!$I$5:$I$11,MATCH($B181,'State Rules'!$A$5:$A$11,0)),"Yes","No"),""))</f>
        <v>No</v>
      </c>
      <c r="R181" s="10" t="str">
        <f aca="false">IF(P181="","",IFERROR(IF(P181&lt;=INDEX('State Rules'!$I$5:$I$11,MATCH($B181,'State Rules'!$A$5:$A$11,0)),"Yes","No"),""))</f>
        <v>No</v>
      </c>
      <c r="S181" s="7"/>
      <c r="T181" s="7"/>
      <c r="U181" s="21"/>
      <c r="V181" s="21"/>
      <c r="W181" s="21"/>
      <c r="X181" s="7"/>
      <c r="Y181" s="9" t="n">
        <f aca="false">IF(P181="","",IF(P181&lt;=$B$4,N(V181)+N(W181),0))</f>
        <v>0</v>
      </c>
    </row>
    <row r="182" customFormat="false" ht="15" hidden="false" customHeight="false" outlineLevel="0" collapsed="false">
      <c r="A182" s="10" t="s">
        <v>39</v>
      </c>
      <c r="B182" s="11" t="str">
        <f aca="false">IFERROR(INDEX(Summary!$B$7:$B$14,MATCH($A182,Summary!$A$7:$A$14,0)),"")</f>
        <v>FL</v>
      </c>
      <c r="C182" s="10" t="s">
        <v>39</v>
      </c>
      <c r="D182" s="10" t="n">
        <v>23</v>
      </c>
      <c r="E182" s="19" t="n">
        <v>46202</v>
      </c>
      <c r="F182" s="10"/>
      <c r="G182" s="10"/>
      <c r="H182" s="9" t="n">
        <v>350</v>
      </c>
      <c r="I182" s="10"/>
      <c r="J182" s="10" t="s">
        <v>84</v>
      </c>
      <c r="K182" s="20" t="n">
        <f aca="false">IF(E182="","",($B$4-E182)/365.25)</f>
        <v>0.271047227926078</v>
      </c>
      <c r="L182" s="10" t="str">
        <f aca="false">IF(K182="","no date",IF(K182&lt;1,"0-1 yrs",IF(K182&lt;2,"1-2 yrs",IF(K182&lt;3,"2-3 yrs",IF(K182&lt;5,"3-5 yrs","5+ yrs")))))</f>
        <v>0-1 yrs</v>
      </c>
      <c r="M182" s="10" t="s">
        <v>85</v>
      </c>
      <c r="N182" s="11" t="n">
        <f aca="false">IFERROR(INDEX('State Rules'!$C$5:$C$11,MATCH($B182,'State Rules'!$A$5:$A$11,0)),"")</f>
        <v>1</v>
      </c>
      <c r="O182" s="19" t="n">
        <f aca="false">IF(OR(N182="",E182=""),"",EDATE(E182,12*N182))</f>
        <v>46567</v>
      </c>
      <c r="P182" s="19" t="n">
        <f aca="false">IF(E182="","",IFERROR(EDATE(E182,12*INDEX('State Rules'!$E$5:$E$11,MATCH($B182,'State Rules'!$A$5:$A$11,0))),""))</f>
        <v>48028</v>
      </c>
      <c r="Q182" s="10" t="str">
        <f aca="false">IF(O182="","",IFERROR(IF(O182&lt;=INDEX('State Rules'!$I$5:$I$11,MATCH($B182,'State Rules'!$A$5:$A$11,0)),"Yes","No"),""))</f>
        <v>No</v>
      </c>
      <c r="R182" s="10" t="str">
        <f aca="false">IF(P182="","",IFERROR(IF(P182&lt;=INDEX('State Rules'!$I$5:$I$11,MATCH($B182,'State Rules'!$A$5:$A$11,0)),"Yes","No"),""))</f>
        <v>No</v>
      </c>
      <c r="S182" s="7"/>
      <c r="T182" s="7"/>
      <c r="U182" s="21"/>
      <c r="V182" s="21"/>
      <c r="W182" s="21"/>
      <c r="X182" s="7"/>
      <c r="Y182" s="9" t="n">
        <f aca="false">IF(P182="","",IF(P182&lt;=$B$4,N(V182)+N(W182),0))</f>
        <v>0</v>
      </c>
    </row>
    <row r="183" customFormat="false" ht="15" hidden="false" customHeight="false" outlineLevel="0" collapsed="false">
      <c r="A183" s="10" t="s">
        <v>39</v>
      </c>
      <c r="B183" s="11" t="str">
        <f aca="false">IFERROR(INDEX(Summary!$B$7:$B$14,MATCH($A183,Summary!$A$7:$A$14,0)),"")</f>
        <v>FL</v>
      </c>
      <c r="C183" s="10" t="s">
        <v>39</v>
      </c>
      <c r="D183" s="10" t="n">
        <v>24</v>
      </c>
      <c r="E183" s="19" t="n">
        <v>46248</v>
      </c>
      <c r="F183" s="10" t="s">
        <v>427</v>
      </c>
      <c r="G183" s="10"/>
      <c r="H183" s="9" t="n">
        <v>1951.11</v>
      </c>
      <c r="I183" s="10"/>
      <c r="J183" s="10" t="s">
        <v>84</v>
      </c>
      <c r="K183" s="20" t="n">
        <f aca="false">IF(E183="","",($B$4-E183)/365.25)</f>
        <v>0.145106091718001</v>
      </c>
      <c r="L183" s="10" t="str">
        <f aca="false">IF(K183="","no date",IF(K183&lt;1,"0-1 yrs",IF(K183&lt;2,"1-2 yrs",IF(K183&lt;3,"2-3 yrs",IF(K183&lt;5,"3-5 yrs","5+ yrs")))))</f>
        <v>0-1 yrs</v>
      </c>
      <c r="M183" s="10" t="s">
        <v>85</v>
      </c>
      <c r="N183" s="11" t="n">
        <f aca="false">IFERROR(INDEX('State Rules'!$C$5:$C$11,MATCH($B183,'State Rules'!$A$5:$A$11,0)),"")</f>
        <v>1</v>
      </c>
      <c r="O183" s="19" t="n">
        <f aca="false">IF(OR(N183="",E183=""),"",EDATE(E183,12*N183))</f>
        <v>46613</v>
      </c>
      <c r="P183" s="19" t="n">
        <f aca="false">IF(E183="","",IFERROR(EDATE(E183,12*INDEX('State Rules'!$E$5:$E$11,MATCH($B183,'State Rules'!$A$5:$A$11,0))),""))</f>
        <v>48074</v>
      </c>
      <c r="Q183" s="10" t="str">
        <f aca="false">IF(O183="","",IFERROR(IF(O183&lt;=INDEX('State Rules'!$I$5:$I$11,MATCH($B183,'State Rules'!$A$5:$A$11,0)),"Yes","No"),""))</f>
        <v>No</v>
      </c>
      <c r="R183" s="10" t="str">
        <f aca="false">IF(P183="","",IFERROR(IF(P183&lt;=INDEX('State Rules'!$I$5:$I$11,MATCH($B183,'State Rules'!$A$5:$A$11,0)),"Yes","No"),""))</f>
        <v>No</v>
      </c>
      <c r="S183" s="7"/>
      <c r="T183" s="7"/>
      <c r="U183" s="21"/>
      <c r="V183" s="21"/>
      <c r="W183" s="21"/>
      <c r="X183" s="7"/>
      <c r="Y183" s="9" t="n">
        <f aca="false">IF(P183="","",IF(P183&lt;=$B$4,N(V183)+N(W183),0))</f>
        <v>0</v>
      </c>
    </row>
    <row r="184" customFormat="false" ht="15" hidden="false" customHeight="false" outlineLevel="0" collapsed="false">
      <c r="A184" s="10" t="s">
        <v>39</v>
      </c>
      <c r="B184" s="11" t="str">
        <f aca="false">IFERROR(INDEX(Summary!$B$7:$B$14,MATCH($A184,Summary!$A$7:$A$14,0)),"")</f>
        <v>FL</v>
      </c>
      <c r="C184" s="10" t="s">
        <v>39</v>
      </c>
      <c r="D184" s="10" t="n">
        <v>25</v>
      </c>
      <c r="E184" s="19" t="n">
        <v>46248</v>
      </c>
      <c r="F184" s="10" t="s">
        <v>428</v>
      </c>
      <c r="G184" s="10"/>
      <c r="H184" s="9" t="n">
        <v>850</v>
      </c>
      <c r="I184" s="10"/>
      <c r="J184" s="10" t="s">
        <v>84</v>
      </c>
      <c r="K184" s="20" t="n">
        <f aca="false">IF(E184="","",($B$4-E184)/365.25)</f>
        <v>0.145106091718001</v>
      </c>
      <c r="L184" s="10" t="str">
        <f aca="false">IF(K184="","no date",IF(K184&lt;1,"0-1 yrs",IF(K184&lt;2,"1-2 yrs",IF(K184&lt;3,"2-3 yrs",IF(K184&lt;5,"3-5 yrs","5+ yrs")))))</f>
        <v>0-1 yrs</v>
      </c>
      <c r="M184" s="10" t="s">
        <v>85</v>
      </c>
      <c r="N184" s="11" t="n">
        <f aca="false">IFERROR(INDEX('State Rules'!$C$5:$C$11,MATCH($B184,'State Rules'!$A$5:$A$11,0)),"")</f>
        <v>1</v>
      </c>
      <c r="O184" s="19" t="n">
        <f aca="false">IF(OR(N184="",E184=""),"",EDATE(E184,12*N184))</f>
        <v>46613</v>
      </c>
      <c r="P184" s="19" t="n">
        <f aca="false">IF(E184="","",IFERROR(EDATE(E184,12*INDEX('State Rules'!$E$5:$E$11,MATCH($B184,'State Rules'!$A$5:$A$11,0))),""))</f>
        <v>48074</v>
      </c>
      <c r="Q184" s="10" t="str">
        <f aca="false">IF(O184="","",IFERROR(IF(O184&lt;=INDEX('State Rules'!$I$5:$I$11,MATCH($B184,'State Rules'!$A$5:$A$11,0)),"Yes","No"),""))</f>
        <v>No</v>
      </c>
      <c r="R184" s="10" t="str">
        <f aca="false">IF(P184="","",IFERROR(IF(P184&lt;=INDEX('State Rules'!$I$5:$I$11,MATCH($B184,'State Rules'!$A$5:$A$11,0)),"Yes","No"),""))</f>
        <v>No</v>
      </c>
      <c r="S184" s="7"/>
      <c r="T184" s="7"/>
      <c r="U184" s="21"/>
      <c r="V184" s="21"/>
      <c r="W184" s="21"/>
      <c r="X184" s="7"/>
      <c r="Y184" s="9" t="n">
        <f aca="false">IF(P184="","",IF(P184&lt;=$B$4,N(V184)+N(W184),0))</f>
        <v>0</v>
      </c>
    </row>
    <row r="185" customFormat="false" ht="15" hidden="false" customHeight="false" outlineLevel="0" collapsed="false">
      <c r="A185" s="10" t="s">
        <v>42</v>
      </c>
      <c r="B185" s="11" t="str">
        <f aca="false">IFERROR(INDEX(Summary!$B$7:$B$14,MATCH($A185,Summary!$A$7:$A$14,0)),"")</f>
        <v>AL</v>
      </c>
      <c r="C185" s="10" t="s">
        <v>429</v>
      </c>
      <c r="D185" s="10" t="n">
        <v>23</v>
      </c>
      <c r="E185" s="19" t="n">
        <v>46113</v>
      </c>
      <c r="F185" s="10"/>
      <c r="G185" s="10"/>
      <c r="H185" s="9" t="n">
        <v>395</v>
      </c>
      <c r="I185" s="10"/>
      <c r="J185" s="10" t="s">
        <v>84</v>
      </c>
      <c r="K185" s="20" t="n">
        <f aca="false">IF(E185="","",($B$4-E185)/365.25)</f>
        <v>0.514715947980835</v>
      </c>
      <c r="L185" s="10" t="str">
        <f aca="false">IF(K185="","no date",IF(K185&lt;1,"0-1 yrs",IF(K185&lt;2,"1-2 yrs",IF(K185&lt;3,"2-3 yrs",IF(K185&lt;5,"3-5 yrs","5+ yrs")))))</f>
        <v>0-1 yrs</v>
      </c>
      <c r="M185" s="10" t="s">
        <v>85</v>
      </c>
      <c r="N185" s="11" t="n">
        <f aca="false">IFERROR(INDEX('State Rules'!$C$5:$C$11,MATCH($B185,'State Rules'!$A$5:$A$11,0)),"")</f>
        <v>1</v>
      </c>
      <c r="O185" s="19" t="n">
        <f aca="false">IF(OR(N185="",E185=""),"",EDATE(E185,12*N185))</f>
        <v>46478</v>
      </c>
      <c r="P185" s="19" t="n">
        <f aca="false">IF(E185="","",IFERROR(EDATE(E185,12*INDEX('State Rules'!$E$5:$E$11,MATCH($B185,'State Rules'!$A$5:$A$11,0))),""))</f>
        <v>47209</v>
      </c>
      <c r="Q185" s="10" t="str">
        <f aca="false">IF(O185="","",IFERROR(IF(O185&lt;=INDEX('State Rules'!$I$5:$I$11,MATCH($B185,'State Rules'!$A$5:$A$11,0)),"Yes","No"),""))</f>
        <v>Yes</v>
      </c>
      <c r="R185" s="10" t="str">
        <f aca="false">IF(P185="","",IFERROR(IF(P185&lt;=INDEX('State Rules'!$I$5:$I$11,MATCH($B185,'State Rules'!$A$5:$A$11,0)),"Yes","No"),""))</f>
        <v>No</v>
      </c>
      <c r="S185" s="7"/>
      <c r="T185" s="7"/>
      <c r="U185" s="21"/>
      <c r="V185" s="21"/>
      <c r="W185" s="21"/>
      <c r="X185" s="7"/>
      <c r="Y185" s="9" t="n">
        <f aca="false">IF(P185="","",IF(P185&lt;=$B$4,N(V185)+N(W185),0))</f>
        <v>0</v>
      </c>
    </row>
    <row r="186" customFormat="false" ht="15" hidden="false" customHeight="false" outlineLevel="0" collapsed="false">
      <c r="A186" s="10" t="s">
        <v>42</v>
      </c>
      <c r="B186" s="11" t="str">
        <f aca="false">IFERROR(INDEX(Summary!$B$7:$B$14,MATCH($A186,Summary!$A$7:$A$14,0)),"")</f>
        <v>AL</v>
      </c>
      <c r="C186" s="10" t="s">
        <v>430</v>
      </c>
      <c r="D186" s="10" t="n">
        <v>24</v>
      </c>
      <c r="E186" s="19" t="n">
        <v>46178</v>
      </c>
      <c r="F186" s="10"/>
      <c r="G186" s="10"/>
      <c r="H186" s="9" t="n">
        <v>150</v>
      </c>
      <c r="I186" s="10"/>
      <c r="J186" s="10" t="s">
        <v>84</v>
      </c>
      <c r="K186" s="20" t="n">
        <f aca="false">IF(E186="","",($B$4-E186)/365.25)</f>
        <v>0.336755646817248</v>
      </c>
      <c r="L186" s="10" t="str">
        <f aca="false">IF(K186="","no date",IF(K186&lt;1,"0-1 yrs",IF(K186&lt;2,"1-2 yrs",IF(K186&lt;3,"2-3 yrs",IF(K186&lt;5,"3-5 yrs","5+ yrs")))))</f>
        <v>0-1 yrs</v>
      </c>
      <c r="M186" s="10" t="s">
        <v>85</v>
      </c>
      <c r="N186" s="11" t="n">
        <f aca="false">IFERROR(INDEX('State Rules'!$C$5:$C$11,MATCH($B186,'State Rules'!$A$5:$A$11,0)),"")</f>
        <v>1</v>
      </c>
      <c r="O186" s="19" t="n">
        <f aca="false">IF(OR(N186="",E186=""),"",EDATE(E186,12*N186))</f>
        <v>46543</v>
      </c>
      <c r="P186" s="19" t="n">
        <f aca="false">IF(E186="","",IFERROR(EDATE(E186,12*INDEX('State Rules'!$E$5:$E$11,MATCH($B186,'State Rules'!$A$5:$A$11,0))),""))</f>
        <v>47274</v>
      </c>
      <c r="Q186" s="10" t="str">
        <f aca="false">IF(O186="","",IFERROR(IF(O186&lt;=INDEX('State Rules'!$I$5:$I$11,MATCH($B186,'State Rules'!$A$5:$A$11,0)),"Yes","No"),""))</f>
        <v>Yes</v>
      </c>
      <c r="R186" s="10" t="str">
        <f aca="false">IF(P186="","",IFERROR(IF(P186&lt;=INDEX('State Rules'!$I$5:$I$11,MATCH($B186,'State Rules'!$A$5:$A$11,0)),"Yes","No"),""))</f>
        <v>No</v>
      </c>
      <c r="S186" s="7"/>
      <c r="T186" s="7"/>
      <c r="U186" s="21"/>
      <c r="V186" s="21"/>
      <c r="W186" s="21"/>
      <c r="X186" s="7"/>
      <c r="Y186" s="9" t="n">
        <f aca="false">IF(P186="","",IF(P186&lt;=$B$4,N(V186)+N(W186),0))</f>
        <v>0</v>
      </c>
    </row>
    <row r="187" customFormat="false" ht="15" hidden="false" customHeight="false" outlineLevel="0" collapsed="false">
      <c r="A187" s="10" t="s">
        <v>42</v>
      </c>
      <c r="B187" s="11" t="str">
        <f aca="false">IFERROR(INDEX(Summary!$B$7:$B$14,MATCH($A187,Summary!$A$7:$A$14,0)),"")</f>
        <v>AL</v>
      </c>
      <c r="C187" s="10" t="s">
        <v>430</v>
      </c>
      <c r="D187" s="10" t="n">
        <v>27</v>
      </c>
      <c r="E187" s="19" t="n">
        <v>46233</v>
      </c>
      <c r="F187" s="10" t="s">
        <v>431</v>
      </c>
      <c r="G187" s="10"/>
      <c r="H187" s="9" t="n">
        <v>100</v>
      </c>
      <c r="I187" s="10"/>
      <c r="J187" s="10" t="s">
        <v>84</v>
      </c>
      <c r="K187" s="20" t="n">
        <f aca="false">IF(E187="","",($B$4-E187)/365.25)</f>
        <v>0.186173853524983</v>
      </c>
      <c r="L187" s="10" t="str">
        <f aca="false">IF(K187="","no date",IF(K187&lt;1,"0-1 yrs",IF(K187&lt;2,"1-2 yrs",IF(K187&lt;3,"2-3 yrs",IF(K187&lt;5,"3-5 yrs","5+ yrs")))))</f>
        <v>0-1 yrs</v>
      </c>
      <c r="M187" s="10" t="s">
        <v>85</v>
      </c>
      <c r="N187" s="11" t="n">
        <f aca="false">IFERROR(INDEX('State Rules'!$C$5:$C$11,MATCH($B187,'State Rules'!$A$5:$A$11,0)),"")</f>
        <v>1</v>
      </c>
      <c r="O187" s="19" t="n">
        <f aca="false">IF(OR(N187="",E187=""),"",EDATE(E187,12*N187))</f>
        <v>46598</v>
      </c>
      <c r="P187" s="19" t="n">
        <f aca="false">IF(E187="","",IFERROR(EDATE(E187,12*INDEX('State Rules'!$E$5:$E$11,MATCH($B187,'State Rules'!$A$5:$A$11,0))),""))</f>
        <v>47329</v>
      </c>
      <c r="Q187" s="10" t="str">
        <f aca="false">IF(O187="","",IFERROR(IF(O187&lt;=INDEX('State Rules'!$I$5:$I$11,MATCH($B187,'State Rules'!$A$5:$A$11,0)),"Yes","No"),""))</f>
        <v>No</v>
      </c>
      <c r="R187" s="10" t="str">
        <f aca="false">IF(P187="","",IFERROR(IF(P187&lt;=INDEX('State Rules'!$I$5:$I$11,MATCH($B187,'State Rules'!$A$5:$A$11,0)),"Yes","No"),""))</f>
        <v>No</v>
      </c>
      <c r="S187" s="7"/>
      <c r="T187" s="7"/>
      <c r="U187" s="21"/>
      <c r="V187" s="21"/>
      <c r="W187" s="21"/>
      <c r="X187" s="7"/>
      <c r="Y187" s="9" t="n">
        <f aca="false">IF(P187="","",IF(P187&lt;=$B$4,N(V187)+N(W187),0))</f>
        <v>0</v>
      </c>
    </row>
    <row r="188" customFormat="false" ht="15" hidden="false" customHeight="false" outlineLevel="0" collapsed="false">
      <c r="A188" s="23" t="s">
        <v>47</v>
      </c>
      <c r="H188" s="24" t="n">
        <f aca="false">SUM(H7:H187)</f>
        <v>226764.46</v>
      </c>
      <c r="U188" s="24" t="n">
        <f aca="false">SUM(U7:U187)</f>
        <v>0</v>
      </c>
      <c r="V188" s="24" t="n">
        <f aca="false">SUM(V7:V187)</f>
        <v>0</v>
      </c>
      <c r="W188" s="24" t="n">
        <f aca="false">SUM(W7:W187)</f>
        <v>0</v>
      </c>
      <c r="Y188" s="24" t="n">
        <f aca="false">SUM(Y7:Y187)</f>
        <v>0</v>
      </c>
    </row>
  </sheetData>
  <autoFilter ref="A6:Y187"/>
  <mergeCells count="2">
    <mergeCell ref="A2:Y2"/>
    <mergeCell ref="A3:Y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1" style="0" width="14"/>
    <col collapsed="false" customWidth="true" hidden="false" outlineLevel="0" max="3" min="3" style="0" width="9"/>
    <col collapsed="false" customWidth="true" hidden="false" outlineLevel="0" max="4" min="4" style="0" width="12"/>
    <col collapsed="false" customWidth="true" hidden="false" outlineLevel="0" max="5" min="5" style="0" width="16"/>
    <col collapsed="false" customWidth="true" hidden="false" outlineLevel="0" max="6" min="6" style="0" width="14"/>
  </cols>
  <sheetData>
    <row r="1" customFormat="false" ht="17.35" hidden="false" customHeight="false" outlineLevel="0" collapsed="false">
      <c r="A1" s="1" t="s">
        <v>432</v>
      </c>
    </row>
    <row r="2" customFormat="false" ht="23.85" hidden="false" customHeight="true" outlineLevel="0" collapsed="false">
      <c r="A2" s="2" t="s">
        <v>433</v>
      </c>
      <c r="B2" s="2"/>
      <c r="C2" s="2"/>
      <c r="D2" s="2"/>
      <c r="E2" s="2"/>
      <c r="F2" s="2"/>
      <c r="G2" s="2"/>
    </row>
    <row r="4" customFormat="false" ht="42" hidden="false" customHeight="true" outlineLevel="0" collapsed="false">
      <c r="A4" s="5" t="s">
        <v>4</v>
      </c>
      <c r="B4" s="5" t="s">
        <v>59</v>
      </c>
      <c r="C4" s="5" t="s">
        <v>60</v>
      </c>
      <c r="D4" s="5" t="s">
        <v>61</v>
      </c>
      <c r="E4" s="5" t="s">
        <v>62</v>
      </c>
      <c r="F4" s="5" t="s">
        <v>64</v>
      </c>
    </row>
    <row r="5" customFormat="false" ht="15" hidden="false" customHeight="false" outlineLevel="0" collapsed="false">
      <c r="A5" s="10" t="s">
        <v>27</v>
      </c>
      <c r="B5" s="10" t="s">
        <v>27</v>
      </c>
      <c r="C5" s="10" t="n">
        <v>111</v>
      </c>
      <c r="D5" s="19" t="n">
        <v>46281</v>
      </c>
      <c r="E5" s="10" t="s">
        <v>434</v>
      </c>
      <c r="F5" s="9" t="n">
        <v>124</v>
      </c>
    </row>
    <row r="6" customFormat="false" ht="15" hidden="false" customHeight="false" outlineLevel="0" collapsed="false">
      <c r="A6" s="10" t="s">
        <v>27</v>
      </c>
      <c r="B6" s="10" t="s">
        <v>27</v>
      </c>
      <c r="C6" s="10" t="n">
        <v>137</v>
      </c>
      <c r="D6" s="19" t="n">
        <v>46286</v>
      </c>
      <c r="E6" s="10" t="s">
        <v>435</v>
      </c>
      <c r="F6" s="9" t="n">
        <v>625</v>
      </c>
    </row>
    <row r="7" customFormat="false" ht="15" hidden="false" customHeight="false" outlineLevel="0" collapsed="false">
      <c r="A7" s="10" t="s">
        <v>27</v>
      </c>
      <c r="B7" s="10" t="s">
        <v>27</v>
      </c>
      <c r="C7" s="10" t="n">
        <v>143</v>
      </c>
      <c r="D7" s="19" t="n">
        <v>46286</v>
      </c>
      <c r="E7" s="10" t="s">
        <v>436</v>
      </c>
      <c r="F7" s="9" t="n">
        <v>748.5</v>
      </c>
    </row>
    <row r="8" customFormat="false" ht="15" hidden="false" customHeight="false" outlineLevel="0" collapsed="false">
      <c r="A8" s="10" t="s">
        <v>27</v>
      </c>
      <c r="B8" s="10" t="s">
        <v>27</v>
      </c>
      <c r="C8" s="10" t="n">
        <v>155</v>
      </c>
      <c r="D8" s="19" t="n">
        <v>46286</v>
      </c>
      <c r="E8" s="10" t="s">
        <v>437</v>
      </c>
      <c r="F8" s="9" t="n">
        <v>2599</v>
      </c>
    </row>
    <row r="9" customFormat="false" ht="15" hidden="false" customHeight="false" outlineLevel="0" collapsed="false">
      <c r="A9" s="10" t="s">
        <v>27</v>
      </c>
      <c r="B9" s="10" t="s">
        <v>27</v>
      </c>
      <c r="C9" s="10" t="n">
        <v>165</v>
      </c>
      <c r="D9" s="19" t="n">
        <v>46288</v>
      </c>
      <c r="E9" s="10" t="s">
        <v>438</v>
      </c>
      <c r="F9" s="9" t="n">
        <v>500</v>
      </c>
    </row>
    <row r="10" customFormat="false" ht="15" hidden="false" customHeight="false" outlineLevel="0" collapsed="false">
      <c r="A10" s="10" t="s">
        <v>27</v>
      </c>
      <c r="B10" s="10" t="s">
        <v>27</v>
      </c>
      <c r="C10" s="10" t="n">
        <v>172</v>
      </c>
      <c r="D10" s="19" t="n">
        <v>46289</v>
      </c>
      <c r="E10" s="10" t="s">
        <v>439</v>
      </c>
      <c r="F10" s="9" t="n">
        <v>2300</v>
      </c>
    </row>
    <row r="11" customFormat="false" ht="15" hidden="false" customHeight="false" outlineLevel="0" collapsed="false">
      <c r="A11" s="10" t="s">
        <v>27</v>
      </c>
      <c r="B11" s="10" t="s">
        <v>27</v>
      </c>
      <c r="C11" s="10" t="n">
        <v>220</v>
      </c>
      <c r="D11" s="19" t="n">
        <v>46297</v>
      </c>
      <c r="E11" s="10" t="s">
        <v>440</v>
      </c>
      <c r="F11" s="9" t="n">
        <v>644</v>
      </c>
    </row>
    <row r="12" customFormat="false" ht="15" hidden="false" customHeight="false" outlineLevel="0" collapsed="false">
      <c r="A12" s="10" t="s">
        <v>27</v>
      </c>
      <c r="B12" s="10" t="s">
        <v>27</v>
      </c>
      <c r="C12" s="10" t="n">
        <v>229</v>
      </c>
      <c r="D12" s="19" t="n">
        <v>46300</v>
      </c>
      <c r="E12" s="10" t="s">
        <v>441</v>
      </c>
      <c r="F12" s="9" t="n">
        <v>644</v>
      </c>
    </row>
    <row r="13" customFormat="false" ht="15" hidden="false" customHeight="false" outlineLevel="0" collapsed="false">
      <c r="A13" s="10" t="s">
        <v>27</v>
      </c>
      <c r="B13" s="10" t="s">
        <v>27</v>
      </c>
      <c r="C13" s="10" t="n">
        <v>230</v>
      </c>
      <c r="D13" s="19" t="n">
        <v>46300</v>
      </c>
      <c r="E13" s="10" t="s">
        <v>442</v>
      </c>
      <c r="F13" s="9" t="n">
        <v>644</v>
      </c>
    </row>
    <row r="14" customFormat="false" ht="15" hidden="false" customHeight="false" outlineLevel="0" collapsed="false">
      <c r="A14" s="10" t="s">
        <v>27</v>
      </c>
      <c r="B14" s="10" t="s">
        <v>27</v>
      </c>
      <c r="C14" s="10" t="n">
        <v>231</v>
      </c>
      <c r="D14" s="19" t="n">
        <v>46300</v>
      </c>
      <c r="E14" s="10" t="s">
        <v>443</v>
      </c>
      <c r="F14" s="9" t="n">
        <v>644</v>
      </c>
    </row>
    <row r="15" customFormat="false" ht="15" hidden="false" customHeight="false" outlineLevel="0" collapsed="false">
      <c r="A15" s="10" t="s">
        <v>27</v>
      </c>
      <c r="B15" s="10" t="s">
        <v>27</v>
      </c>
      <c r="C15" s="10" t="n">
        <v>232</v>
      </c>
      <c r="D15" s="19" t="n">
        <v>46300</v>
      </c>
      <c r="E15" s="10" t="s">
        <v>444</v>
      </c>
      <c r="F15" s="9" t="n">
        <v>644</v>
      </c>
    </row>
    <row r="16" customFormat="false" ht="15" hidden="false" customHeight="false" outlineLevel="0" collapsed="false">
      <c r="A16" s="10" t="s">
        <v>27</v>
      </c>
      <c r="B16" s="10" t="s">
        <v>27</v>
      </c>
      <c r="C16" s="10" t="n">
        <v>233</v>
      </c>
      <c r="D16" s="19" t="n">
        <v>46300</v>
      </c>
      <c r="E16" s="10" t="s">
        <v>445</v>
      </c>
      <c r="F16" s="9" t="n">
        <v>780</v>
      </c>
    </row>
    <row r="17" customFormat="false" ht="15" hidden="false" customHeight="false" outlineLevel="0" collapsed="false">
      <c r="A17" s="10" t="s">
        <v>27</v>
      </c>
      <c r="B17" s="10" t="s">
        <v>27</v>
      </c>
      <c r="C17" s="10" t="n">
        <v>234</v>
      </c>
      <c r="D17" s="19" t="n">
        <v>46300</v>
      </c>
      <c r="E17" s="10" t="s">
        <v>446</v>
      </c>
      <c r="F17" s="9" t="n">
        <v>1002.37</v>
      </c>
    </row>
    <row r="18" customFormat="false" ht="15" hidden="false" customHeight="false" outlineLevel="0" collapsed="false">
      <c r="A18" s="10" t="s">
        <v>27</v>
      </c>
      <c r="B18" s="10" t="s">
        <v>27</v>
      </c>
      <c r="C18" s="10" t="n">
        <v>235</v>
      </c>
      <c r="D18" s="19" t="n">
        <v>46300</v>
      </c>
      <c r="E18" s="10" t="s">
        <v>447</v>
      </c>
      <c r="F18" s="9" t="n">
        <v>1600</v>
      </c>
    </row>
    <row r="19" customFormat="false" ht="15" hidden="false" customHeight="false" outlineLevel="0" collapsed="false">
      <c r="A19" s="10" t="s">
        <v>27</v>
      </c>
      <c r="B19" s="10" t="s">
        <v>27</v>
      </c>
      <c r="C19" s="10" t="n">
        <v>236</v>
      </c>
      <c r="D19" s="19" t="n">
        <v>46300</v>
      </c>
      <c r="E19" s="10" t="s">
        <v>448</v>
      </c>
      <c r="F19" s="9" t="n">
        <v>2088</v>
      </c>
    </row>
    <row r="20" customFormat="false" ht="15" hidden="false" customHeight="false" outlineLevel="0" collapsed="false">
      <c r="A20" s="10" t="s">
        <v>33</v>
      </c>
      <c r="B20" s="10" t="s">
        <v>449</v>
      </c>
      <c r="C20" s="10" t="n">
        <v>53</v>
      </c>
      <c r="D20" s="19" t="n">
        <v>46297</v>
      </c>
      <c r="E20" s="10" t="s">
        <v>450</v>
      </c>
      <c r="F20" s="9" t="n">
        <v>4400</v>
      </c>
    </row>
    <row r="21" customFormat="false" ht="15" hidden="false" customHeight="false" outlineLevel="0" collapsed="false">
      <c r="A21" s="10" t="s">
        <v>33</v>
      </c>
      <c r="B21" s="10" t="s">
        <v>449</v>
      </c>
      <c r="C21" s="10" t="n">
        <v>57</v>
      </c>
      <c r="D21" s="19" t="n">
        <v>46300</v>
      </c>
      <c r="E21" s="10" t="s">
        <v>451</v>
      </c>
      <c r="F21" s="9" t="n">
        <v>700</v>
      </c>
    </row>
    <row r="22" customFormat="false" ht="15" hidden="false" customHeight="false" outlineLevel="0" collapsed="false">
      <c r="A22" s="10" t="s">
        <v>33</v>
      </c>
      <c r="B22" s="10" t="s">
        <v>452</v>
      </c>
      <c r="C22" s="10" t="n">
        <v>38</v>
      </c>
      <c r="D22" s="19" t="n">
        <v>46296</v>
      </c>
      <c r="E22" s="10"/>
      <c r="F22" s="9" t="n">
        <v>250</v>
      </c>
    </row>
    <row r="23" customFormat="false" ht="15" hidden="false" customHeight="false" outlineLevel="0" collapsed="false">
      <c r="A23" s="10" t="s">
        <v>33</v>
      </c>
      <c r="B23" s="10" t="s">
        <v>452</v>
      </c>
      <c r="C23" s="10" t="n">
        <v>39</v>
      </c>
      <c r="D23" s="19" t="n">
        <v>46300</v>
      </c>
      <c r="E23" s="10"/>
      <c r="F23" s="9" t="n">
        <v>12995</v>
      </c>
    </row>
    <row r="24" customFormat="false" ht="15" hidden="false" customHeight="false" outlineLevel="0" collapsed="false">
      <c r="A24" s="10" t="s">
        <v>30</v>
      </c>
      <c r="B24" s="10" t="s">
        <v>30</v>
      </c>
      <c r="C24" s="10" t="n">
        <v>85</v>
      </c>
      <c r="D24" s="19" t="n">
        <v>46286</v>
      </c>
      <c r="E24" s="10" t="s">
        <v>453</v>
      </c>
      <c r="F24" s="9" t="n">
        <v>1175</v>
      </c>
    </row>
    <row r="25" customFormat="false" ht="15" hidden="false" customHeight="false" outlineLevel="0" collapsed="false">
      <c r="A25" s="10" t="s">
        <v>30</v>
      </c>
      <c r="B25" s="10" t="s">
        <v>30</v>
      </c>
      <c r="C25" s="10" t="n">
        <v>100</v>
      </c>
      <c r="D25" s="19" t="n">
        <v>46293</v>
      </c>
      <c r="E25" s="10" t="s">
        <v>454</v>
      </c>
      <c r="F25" s="9" t="n">
        <v>178.6</v>
      </c>
    </row>
    <row r="26" customFormat="false" ht="15" hidden="false" customHeight="false" outlineLevel="0" collapsed="false">
      <c r="A26" s="10" t="s">
        <v>30</v>
      </c>
      <c r="B26" s="10" t="s">
        <v>30</v>
      </c>
      <c r="C26" s="10" t="n">
        <v>102</v>
      </c>
      <c r="D26" s="19" t="n">
        <v>46293</v>
      </c>
      <c r="E26" s="10" t="s">
        <v>455</v>
      </c>
      <c r="F26" s="9" t="n">
        <v>295</v>
      </c>
    </row>
    <row r="27" customFormat="false" ht="15" hidden="false" customHeight="false" outlineLevel="0" collapsed="false">
      <c r="A27" s="10" t="s">
        <v>30</v>
      </c>
      <c r="B27" s="10" t="s">
        <v>30</v>
      </c>
      <c r="C27" s="10" t="n">
        <v>109</v>
      </c>
      <c r="D27" s="19" t="n">
        <v>46294</v>
      </c>
      <c r="E27" s="10" t="s">
        <v>456</v>
      </c>
      <c r="F27" s="9" t="n">
        <v>250</v>
      </c>
    </row>
    <row r="28" customFormat="false" ht="15" hidden="false" customHeight="false" outlineLevel="0" collapsed="false">
      <c r="A28" s="10" t="s">
        <v>30</v>
      </c>
      <c r="B28" s="10" t="s">
        <v>30</v>
      </c>
      <c r="C28" s="10" t="n">
        <v>119</v>
      </c>
      <c r="D28" s="19" t="n">
        <v>46297</v>
      </c>
      <c r="E28" s="10" t="s">
        <v>457</v>
      </c>
      <c r="F28" s="9" t="n">
        <v>1950</v>
      </c>
    </row>
    <row r="29" customFormat="false" ht="15" hidden="false" customHeight="false" outlineLevel="0" collapsed="false">
      <c r="A29" s="10" t="s">
        <v>30</v>
      </c>
      <c r="B29" s="10" t="s">
        <v>30</v>
      </c>
      <c r="C29" s="10" t="n">
        <v>121</v>
      </c>
      <c r="D29" s="19" t="n">
        <v>46300</v>
      </c>
      <c r="E29" s="10" t="s">
        <v>458</v>
      </c>
      <c r="F29" s="9" t="n">
        <v>40</v>
      </c>
    </row>
    <row r="30" customFormat="false" ht="15" hidden="false" customHeight="false" outlineLevel="0" collapsed="false">
      <c r="A30" s="10" t="s">
        <v>30</v>
      </c>
      <c r="B30" s="10" t="s">
        <v>30</v>
      </c>
      <c r="C30" s="10" t="n">
        <v>122</v>
      </c>
      <c r="D30" s="19" t="n">
        <v>46300</v>
      </c>
      <c r="E30" s="10" t="s">
        <v>459</v>
      </c>
      <c r="F30" s="9" t="n">
        <v>644</v>
      </c>
    </row>
    <row r="31" customFormat="false" ht="15" hidden="false" customHeight="false" outlineLevel="0" collapsed="false">
      <c r="A31" s="10" t="s">
        <v>30</v>
      </c>
      <c r="B31" s="10" t="s">
        <v>30</v>
      </c>
      <c r="C31" s="10" t="n">
        <v>123</v>
      </c>
      <c r="D31" s="19" t="n">
        <v>46300</v>
      </c>
      <c r="E31" s="10" t="s">
        <v>460</v>
      </c>
      <c r="F31" s="9" t="n">
        <v>644</v>
      </c>
    </row>
    <row r="32" customFormat="false" ht="15" hidden="false" customHeight="false" outlineLevel="0" collapsed="false">
      <c r="A32" s="10" t="s">
        <v>30</v>
      </c>
      <c r="B32" s="10" t="s">
        <v>30</v>
      </c>
      <c r="C32" s="10" t="n">
        <v>124</v>
      </c>
      <c r="D32" s="19" t="n">
        <v>46300</v>
      </c>
      <c r="E32" s="10" t="s">
        <v>461</v>
      </c>
      <c r="F32" s="9" t="n">
        <v>1194.5</v>
      </c>
    </row>
    <row r="33" customFormat="false" ht="15" hidden="false" customHeight="false" outlineLevel="0" collapsed="false">
      <c r="A33" s="10" t="s">
        <v>30</v>
      </c>
      <c r="B33" s="10" t="s">
        <v>30</v>
      </c>
      <c r="C33" s="10" t="n">
        <v>125</v>
      </c>
      <c r="D33" s="19" t="n">
        <v>46300</v>
      </c>
      <c r="E33" s="10" t="s">
        <v>462</v>
      </c>
      <c r="F33" s="9" t="n">
        <v>1750</v>
      </c>
    </row>
    <row r="34" customFormat="false" ht="15" hidden="false" customHeight="false" outlineLevel="0" collapsed="false">
      <c r="A34" s="10" t="s">
        <v>30</v>
      </c>
      <c r="B34" s="10" t="s">
        <v>30</v>
      </c>
      <c r="C34" s="10" t="n">
        <v>126</v>
      </c>
      <c r="D34" s="19" t="n">
        <v>46300</v>
      </c>
      <c r="E34" s="10" t="s">
        <v>463</v>
      </c>
      <c r="F34" s="9" t="n">
        <v>1950.83</v>
      </c>
    </row>
    <row r="35" customFormat="false" ht="15" hidden="false" customHeight="false" outlineLevel="0" collapsed="false">
      <c r="A35" s="10" t="s">
        <v>36</v>
      </c>
      <c r="B35" s="10" t="s">
        <v>449</v>
      </c>
      <c r="C35" s="10" t="n">
        <v>40</v>
      </c>
      <c r="D35" s="19" t="n">
        <v>46281</v>
      </c>
      <c r="E35" s="10" t="s">
        <v>464</v>
      </c>
      <c r="F35" s="9" t="n">
        <v>35</v>
      </c>
    </row>
    <row r="36" customFormat="false" ht="15" hidden="false" customHeight="false" outlineLevel="0" collapsed="false">
      <c r="A36" s="10" t="s">
        <v>36</v>
      </c>
      <c r="B36" s="10" t="s">
        <v>449</v>
      </c>
      <c r="C36" s="10" t="n">
        <v>60</v>
      </c>
      <c r="D36" s="19" t="n">
        <v>46289</v>
      </c>
      <c r="E36" s="10" t="s">
        <v>424</v>
      </c>
      <c r="F36" s="9" t="n">
        <v>11375</v>
      </c>
    </row>
    <row r="37" customFormat="false" ht="15" hidden="false" customHeight="false" outlineLevel="0" collapsed="false">
      <c r="A37" s="10" t="s">
        <v>36</v>
      </c>
      <c r="B37" s="10" t="s">
        <v>449</v>
      </c>
      <c r="C37" s="10" t="n">
        <v>61</v>
      </c>
      <c r="D37" s="19" t="n">
        <v>46290</v>
      </c>
      <c r="E37" s="10" t="s">
        <v>465</v>
      </c>
      <c r="F37" s="9" t="n">
        <v>1800</v>
      </c>
    </row>
    <row r="38" customFormat="false" ht="15" hidden="false" customHeight="false" outlineLevel="0" collapsed="false">
      <c r="A38" s="10" t="s">
        <v>36</v>
      </c>
      <c r="B38" s="10" t="s">
        <v>449</v>
      </c>
      <c r="C38" s="10" t="n">
        <v>66</v>
      </c>
      <c r="D38" s="19" t="n">
        <v>46294</v>
      </c>
      <c r="E38" s="10" t="s">
        <v>424</v>
      </c>
      <c r="F38" s="9" t="n">
        <v>125</v>
      </c>
    </row>
    <row r="39" customFormat="false" ht="15" hidden="false" customHeight="false" outlineLevel="0" collapsed="false">
      <c r="A39" s="10" t="s">
        <v>36</v>
      </c>
      <c r="B39" s="10" t="s">
        <v>449</v>
      </c>
      <c r="C39" s="10" t="n">
        <v>71</v>
      </c>
      <c r="D39" s="19" t="n">
        <v>46295</v>
      </c>
      <c r="E39" s="10" t="s">
        <v>466</v>
      </c>
      <c r="F39" s="9" t="n">
        <v>644</v>
      </c>
    </row>
    <row r="40" customFormat="false" ht="15" hidden="false" customHeight="false" outlineLevel="0" collapsed="false">
      <c r="A40" s="10" t="s">
        <v>36</v>
      </c>
      <c r="B40" s="10" t="s">
        <v>449</v>
      </c>
      <c r="C40" s="10" t="n">
        <v>72</v>
      </c>
      <c r="D40" s="19" t="n">
        <v>46295</v>
      </c>
      <c r="E40" s="10" t="s">
        <v>467</v>
      </c>
      <c r="F40" s="9" t="n">
        <v>2512.5</v>
      </c>
    </row>
    <row r="41" customFormat="false" ht="15" hidden="false" customHeight="false" outlineLevel="0" collapsed="false">
      <c r="A41" s="10" t="s">
        <v>36</v>
      </c>
      <c r="B41" s="10" t="s">
        <v>449</v>
      </c>
      <c r="C41" s="10" t="n">
        <v>73</v>
      </c>
      <c r="D41" s="19" t="n">
        <v>46296</v>
      </c>
      <c r="E41" s="10" t="s">
        <v>424</v>
      </c>
      <c r="F41" s="9" t="n">
        <v>3295</v>
      </c>
    </row>
    <row r="42" customFormat="false" ht="15" hidden="false" customHeight="false" outlineLevel="0" collapsed="false">
      <c r="A42" s="10" t="s">
        <v>36</v>
      </c>
      <c r="B42" s="10" t="s">
        <v>449</v>
      </c>
      <c r="C42" s="10" t="n">
        <v>76</v>
      </c>
      <c r="D42" s="19" t="n">
        <v>46297</v>
      </c>
      <c r="E42" s="10" t="s">
        <v>424</v>
      </c>
      <c r="F42" s="9" t="n">
        <v>5055</v>
      </c>
    </row>
    <row r="43" customFormat="false" ht="15" hidden="false" customHeight="false" outlineLevel="0" collapsed="false">
      <c r="A43" s="10" t="s">
        <v>36</v>
      </c>
      <c r="B43" s="10" t="s">
        <v>449</v>
      </c>
      <c r="C43" s="10" t="n">
        <v>77</v>
      </c>
      <c r="D43" s="19" t="n">
        <v>46297</v>
      </c>
      <c r="E43" s="10" t="s">
        <v>424</v>
      </c>
      <c r="F43" s="9" t="n">
        <v>8595</v>
      </c>
    </row>
    <row r="44" customFormat="false" ht="15" hidden="false" customHeight="false" outlineLevel="0" collapsed="false">
      <c r="A44" s="10" t="s">
        <v>36</v>
      </c>
      <c r="B44" s="10" t="s">
        <v>449</v>
      </c>
      <c r="C44" s="10" t="n">
        <v>78</v>
      </c>
      <c r="D44" s="19" t="n">
        <v>46300</v>
      </c>
      <c r="E44" s="10" t="s">
        <v>468</v>
      </c>
      <c r="F44" s="9" t="n">
        <v>595</v>
      </c>
    </row>
    <row r="45" customFormat="false" ht="15" hidden="false" customHeight="false" outlineLevel="0" collapsed="false">
      <c r="A45" s="10" t="s">
        <v>36</v>
      </c>
      <c r="B45" s="10" t="s">
        <v>449</v>
      </c>
      <c r="C45" s="10" t="n">
        <v>79</v>
      </c>
      <c r="D45" s="19" t="n">
        <v>46300</v>
      </c>
      <c r="E45" s="10" t="s">
        <v>469</v>
      </c>
      <c r="F45" s="9" t="n">
        <v>15060</v>
      </c>
    </row>
    <row r="46" customFormat="false" ht="15" hidden="false" customHeight="false" outlineLevel="0" collapsed="false">
      <c r="A46" s="10" t="s">
        <v>31</v>
      </c>
      <c r="B46" s="10" t="s">
        <v>31</v>
      </c>
      <c r="C46" s="10" t="n">
        <v>43</v>
      </c>
      <c r="D46" s="19" t="n">
        <v>46269</v>
      </c>
      <c r="E46" s="10" t="s">
        <v>470</v>
      </c>
      <c r="F46" s="9" t="n">
        <v>800</v>
      </c>
    </row>
    <row r="47" customFormat="false" ht="15" hidden="false" customHeight="false" outlineLevel="0" collapsed="false">
      <c r="A47" s="10" t="s">
        <v>31</v>
      </c>
      <c r="B47" s="10" t="s">
        <v>31</v>
      </c>
      <c r="C47" s="10" t="n">
        <v>56</v>
      </c>
      <c r="D47" s="19" t="n">
        <v>46276</v>
      </c>
      <c r="E47" s="10" t="s">
        <v>471</v>
      </c>
      <c r="F47" s="9" t="n">
        <v>1225</v>
      </c>
    </row>
    <row r="48" customFormat="false" ht="15" hidden="false" customHeight="false" outlineLevel="0" collapsed="false">
      <c r="A48" s="10" t="s">
        <v>31</v>
      </c>
      <c r="B48" s="10" t="s">
        <v>31</v>
      </c>
      <c r="C48" s="10" t="n">
        <v>79</v>
      </c>
      <c r="D48" s="19" t="n">
        <v>46286</v>
      </c>
      <c r="E48" s="10" t="s">
        <v>472</v>
      </c>
      <c r="F48" s="9" t="n">
        <v>1867</v>
      </c>
    </row>
    <row r="49" customFormat="false" ht="15" hidden="false" customHeight="false" outlineLevel="0" collapsed="false">
      <c r="A49" s="10" t="s">
        <v>31</v>
      </c>
      <c r="B49" s="10" t="s">
        <v>31</v>
      </c>
      <c r="C49" s="10" t="n">
        <v>87</v>
      </c>
      <c r="D49" s="19" t="n">
        <v>46290</v>
      </c>
      <c r="E49" s="10" t="s">
        <v>473</v>
      </c>
      <c r="F49" s="9" t="n">
        <v>1393</v>
      </c>
    </row>
    <row r="50" customFormat="false" ht="15" hidden="false" customHeight="false" outlineLevel="0" collapsed="false">
      <c r="A50" s="10" t="s">
        <v>31</v>
      </c>
      <c r="B50" s="10" t="s">
        <v>31</v>
      </c>
      <c r="C50" s="10" t="n">
        <v>99</v>
      </c>
      <c r="D50" s="19" t="n">
        <v>46293</v>
      </c>
      <c r="E50" s="10" t="s">
        <v>474</v>
      </c>
      <c r="F50" s="9" t="n">
        <v>11324.2</v>
      </c>
    </row>
    <row r="51" customFormat="false" ht="15" hidden="false" customHeight="false" outlineLevel="0" collapsed="false">
      <c r="A51" s="10" t="s">
        <v>31</v>
      </c>
      <c r="B51" s="10" t="s">
        <v>31</v>
      </c>
      <c r="C51" s="10" t="n">
        <v>113</v>
      </c>
      <c r="D51" s="19" t="n">
        <v>46300</v>
      </c>
      <c r="E51" s="10" t="s">
        <v>475</v>
      </c>
      <c r="F51" s="9" t="n">
        <v>315</v>
      </c>
    </row>
    <row r="52" customFormat="false" ht="15" hidden="false" customHeight="false" outlineLevel="0" collapsed="false">
      <c r="A52" s="10" t="s">
        <v>31</v>
      </c>
      <c r="B52" s="10" t="s">
        <v>31</v>
      </c>
      <c r="C52" s="10" t="n">
        <v>114</v>
      </c>
      <c r="D52" s="19" t="n">
        <v>46300</v>
      </c>
      <c r="E52" s="10" t="s">
        <v>476</v>
      </c>
      <c r="F52" s="9" t="n">
        <v>350</v>
      </c>
    </row>
    <row r="53" customFormat="false" ht="15" hidden="false" customHeight="false" outlineLevel="0" collapsed="false">
      <c r="A53" s="10" t="s">
        <v>31</v>
      </c>
      <c r="B53" s="10" t="s">
        <v>31</v>
      </c>
      <c r="C53" s="10" t="n">
        <v>115</v>
      </c>
      <c r="D53" s="19" t="n">
        <v>46300</v>
      </c>
      <c r="E53" s="10" t="s">
        <v>477</v>
      </c>
      <c r="F53" s="9" t="n">
        <v>945</v>
      </c>
    </row>
    <row r="54" customFormat="false" ht="15" hidden="false" customHeight="false" outlineLevel="0" collapsed="false">
      <c r="A54" s="10" t="s">
        <v>31</v>
      </c>
      <c r="B54" s="10" t="s">
        <v>31</v>
      </c>
      <c r="C54" s="10" t="n">
        <v>116</v>
      </c>
      <c r="D54" s="19" t="n">
        <v>46300</v>
      </c>
      <c r="E54" s="10" t="s">
        <v>478</v>
      </c>
      <c r="F54" s="9" t="n">
        <v>1835</v>
      </c>
    </row>
    <row r="55" customFormat="false" ht="15" hidden="false" customHeight="false" outlineLevel="0" collapsed="false">
      <c r="A55" s="10" t="s">
        <v>42</v>
      </c>
      <c r="B55" s="10" t="s">
        <v>479</v>
      </c>
      <c r="C55" s="10" t="n">
        <v>25</v>
      </c>
      <c r="D55" s="19" t="n">
        <v>46269</v>
      </c>
      <c r="E55" s="10"/>
      <c r="F55" s="9" t="n">
        <v>2370</v>
      </c>
    </row>
    <row r="56" customFormat="false" ht="15" hidden="false" customHeight="false" outlineLevel="0" collapsed="false">
      <c r="A56" s="10" t="s">
        <v>42</v>
      </c>
      <c r="B56" s="10" t="s">
        <v>479</v>
      </c>
      <c r="C56" s="10" t="n">
        <v>55</v>
      </c>
      <c r="D56" s="19" t="n">
        <v>46281</v>
      </c>
      <c r="E56" s="10"/>
      <c r="F56" s="9" t="n">
        <v>900</v>
      </c>
    </row>
    <row r="57" customFormat="false" ht="15" hidden="false" customHeight="false" outlineLevel="0" collapsed="false">
      <c r="A57" s="10" t="s">
        <v>42</v>
      </c>
      <c r="B57" s="10" t="s">
        <v>479</v>
      </c>
      <c r="C57" s="10" t="n">
        <v>92</v>
      </c>
      <c r="D57" s="19" t="n">
        <v>46297</v>
      </c>
      <c r="E57" s="10"/>
      <c r="F57" s="9" t="n">
        <v>3000</v>
      </c>
    </row>
    <row r="58" customFormat="false" ht="15" hidden="false" customHeight="false" outlineLevel="0" collapsed="false">
      <c r="A58" s="10" t="s">
        <v>42</v>
      </c>
      <c r="B58" s="10" t="s">
        <v>479</v>
      </c>
      <c r="C58" s="10" t="n">
        <v>93</v>
      </c>
      <c r="D58" s="19" t="n">
        <v>46300</v>
      </c>
      <c r="E58" s="10"/>
      <c r="F58" s="9" t="n">
        <v>6372.5</v>
      </c>
    </row>
    <row r="59" customFormat="false" ht="15" hidden="false" customHeight="false" outlineLevel="0" collapsed="false">
      <c r="A59" s="10" t="s">
        <v>42</v>
      </c>
      <c r="B59" s="10" t="s">
        <v>479</v>
      </c>
      <c r="C59" s="10" t="n">
        <v>94</v>
      </c>
      <c r="D59" s="19" t="n">
        <v>46300</v>
      </c>
      <c r="E59" s="10"/>
      <c r="F59" s="9" t="n">
        <v>7650</v>
      </c>
    </row>
    <row r="60" customFormat="false" ht="15" hidden="false" customHeight="false" outlineLevel="0" collapsed="false">
      <c r="A60" s="10" t="s">
        <v>42</v>
      </c>
      <c r="B60" s="10" t="s">
        <v>479</v>
      </c>
      <c r="C60" s="10" t="n">
        <v>95</v>
      </c>
      <c r="D60" s="19" t="n">
        <v>46300</v>
      </c>
      <c r="E60" s="10"/>
      <c r="F60" s="9" t="n">
        <v>8100</v>
      </c>
    </row>
    <row r="61" customFormat="false" ht="15" hidden="false" customHeight="false" outlineLevel="0" collapsed="false">
      <c r="A61" s="10" t="s">
        <v>42</v>
      </c>
      <c r="B61" s="10" t="s">
        <v>429</v>
      </c>
      <c r="C61" s="10" t="n">
        <v>34</v>
      </c>
      <c r="D61" s="19" t="n">
        <v>46283</v>
      </c>
      <c r="E61" s="10"/>
      <c r="F61" s="9" t="n">
        <v>3000</v>
      </c>
    </row>
    <row r="62" customFormat="false" ht="15" hidden="false" customHeight="false" outlineLevel="0" collapsed="false">
      <c r="A62" s="23" t="s">
        <v>47</v>
      </c>
      <c r="F62" s="24" t="n">
        <f aca="false">SUM(F5:F61)</f>
        <v>144542</v>
      </c>
    </row>
  </sheetData>
  <mergeCells count="1">
    <mergeCell ref="A2:G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55"/>
    <col collapsed="false" customWidth="true" hidden="false" outlineLevel="0" max="3" min="3" style="0" width="80"/>
    <col collapsed="false" customWidth="true" hidden="false" outlineLevel="0" max="4" min="4" style="0" width="30"/>
  </cols>
  <sheetData>
    <row r="1" customFormat="false" ht="17.35" hidden="false" customHeight="false" outlineLevel="0" collapsed="false">
      <c r="A1" s="1" t="s">
        <v>480</v>
      </c>
    </row>
    <row r="3" customFormat="false" ht="42" hidden="false" customHeight="true" outlineLevel="0" collapsed="false">
      <c r="A3" s="5" t="s">
        <v>481</v>
      </c>
      <c r="B3" s="5" t="s">
        <v>482</v>
      </c>
      <c r="C3" s="5" t="s">
        <v>483</v>
      </c>
      <c r="D3" s="5" t="s">
        <v>484</v>
      </c>
    </row>
    <row r="4" customFormat="false" ht="75" hidden="false" customHeight="true" outlineLevel="0" collapsed="false">
      <c r="A4" s="10" t="n">
        <v>1</v>
      </c>
      <c r="B4" s="25" t="s">
        <v>485</v>
      </c>
      <c r="C4" s="13" t="s">
        <v>486</v>
      </c>
      <c r="D4" s="13" t="s">
        <v>487</v>
      </c>
    </row>
    <row r="5" customFormat="false" ht="75" hidden="false" customHeight="true" outlineLevel="0" collapsed="false">
      <c r="A5" s="10" t="n">
        <v>2</v>
      </c>
      <c r="B5" s="25" t="s">
        <v>488</v>
      </c>
      <c r="C5" s="13" t="s">
        <v>489</v>
      </c>
      <c r="D5" s="13" t="s">
        <v>490</v>
      </c>
    </row>
    <row r="6" customFormat="false" ht="75" hidden="false" customHeight="true" outlineLevel="0" collapsed="false">
      <c r="A6" s="10" t="n">
        <v>3</v>
      </c>
      <c r="B6" s="25" t="s">
        <v>491</v>
      </c>
      <c r="C6" s="13" t="s">
        <v>492</v>
      </c>
      <c r="D6" s="13" t="s">
        <v>493</v>
      </c>
    </row>
    <row r="7" customFormat="false" ht="75" hidden="false" customHeight="true" outlineLevel="0" collapsed="false">
      <c r="A7" s="10" t="n">
        <v>4</v>
      </c>
      <c r="B7" s="25" t="s">
        <v>494</v>
      </c>
      <c r="C7" s="13" t="s">
        <v>495</v>
      </c>
      <c r="D7" s="13" t="s">
        <v>496</v>
      </c>
    </row>
    <row r="8" customFormat="false" ht="75" hidden="false" customHeight="true" outlineLevel="0" collapsed="false">
      <c r="A8" s="10" t="n">
        <v>5</v>
      </c>
      <c r="B8" s="25" t="s">
        <v>497</v>
      </c>
      <c r="C8" s="13" t="s">
        <v>498</v>
      </c>
      <c r="D8" s="13" t="s">
        <v>499</v>
      </c>
    </row>
    <row r="9" customFormat="false" ht="75" hidden="false" customHeight="true" outlineLevel="0" collapsed="false">
      <c r="A9" s="10" t="n">
        <v>6</v>
      </c>
      <c r="B9" s="25" t="s">
        <v>500</v>
      </c>
      <c r="C9" s="13" t="s">
        <v>501</v>
      </c>
      <c r="D9" s="13" t="s">
        <v>502</v>
      </c>
    </row>
    <row r="10" customFormat="false" ht="75" hidden="false" customHeight="true" outlineLevel="0" collapsed="false">
      <c r="A10" s="10" t="n">
        <v>7</v>
      </c>
      <c r="B10" s="25" t="s">
        <v>503</v>
      </c>
      <c r="C10" s="13" t="s">
        <v>504</v>
      </c>
      <c r="D10" s="13" t="s">
        <v>505</v>
      </c>
    </row>
    <row r="11" customFormat="false" ht="75" hidden="false" customHeight="true" outlineLevel="0" collapsed="false">
      <c r="A11" s="10" t="n">
        <v>8</v>
      </c>
      <c r="B11" s="25" t="s">
        <v>506</v>
      </c>
      <c r="C11" s="13" t="s">
        <v>507</v>
      </c>
      <c r="D11" s="13" t="s">
        <v>505</v>
      </c>
    </row>
    <row r="12" customFormat="false" ht="75" hidden="false" customHeight="true" outlineLevel="0" collapsed="false">
      <c r="A12" s="10" t="n">
        <v>9</v>
      </c>
      <c r="B12" s="25" t="s">
        <v>508</v>
      </c>
      <c r="C12" s="13" t="s">
        <v>509</v>
      </c>
      <c r="D12" s="13" t="s">
        <v>510</v>
      </c>
    </row>
    <row r="13" customFormat="false" ht="75" hidden="false" customHeight="true" outlineLevel="0" collapsed="false">
      <c r="A13" s="10" t="n">
        <v>10</v>
      </c>
      <c r="B13" s="25" t="s">
        <v>511</v>
      </c>
      <c r="C13" s="13" t="s">
        <v>512</v>
      </c>
      <c r="D13" s="13" t="s">
        <v>513</v>
      </c>
    </row>
    <row r="14" customFormat="false" ht="75" hidden="false" customHeight="true" outlineLevel="0" collapsed="false">
      <c r="A14" s="10" t="n">
        <v>11</v>
      </c>
      <c r="B14" s="25" t="s">
        <v>514</v>
      </c>
      <c r="C14" s="13" t="s">
        <v>515</v>
      </c>
      <c r="D14" s="13" t="s">
        <v>505</v>
      </c>
    </row>
    <row r="15" customFormat="false" ht="75" hidden="false" customHeight="true" outlineLevel="0" collapsed="false">
      <c r="A15" s="10" t="n">
        <v>12</v>
      </c>
      <c r="B15" s="25" t="s">
        <v>516</v>
      </c>
      <c r="C15" s="13" t="s">
        <v>517</v>
      </c>
      <c r="D15" s="13" t="s">
        <v>518</v>
      </c>
    </row>
    <row r="16" customFormat="false" ht="75" hidden="false" customHeight="true" outlineLevel="0" collapsed="false">
      <c r="A16" s="10" t="n">
        <v>13</v>
      </c>
      <c r="B16" s="25" t="s">
        <v>519</v>
      </c>
      <c r="C16" s="13" t="s">
        <v>520</v>
      </c>
      <c r="D16" s="13" t="s">
        <v>521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0"/>
  </cols>
  <sheetData>
    <row r="1" customFormat="false" ht="17.35" hidden="false" customHeight="false" outlineLevel="0" collapsed="false">
      <c r="A1" s="1" t="s">
        <v>522</v>
      </c>
    </row>
    <row r="3" customFormat="false" ht="33.75" hidden="false" customHeight="true" outlineLevel="0" collapsed="false">
      <c r="A3" s="2" t="s">
        <v>523</v>
      </c>
      <c r="B3" s="2"/>
      <c r="C3" s="2"/>
      <c r="D3" s="2"/>
      <c r="E3" s="2"/>
      <c r="F3" s="2"/>
      <c r="G3" s="2"/>
      <c r="H3" s="2"/>
      <c r="I3" s="2"/>
      <c r="J3" s="2"/>
    </row>
    <row r="4" customFormat="false" ht="33.75" hidden="false" customHeight="true" outlineLevel="0" collapsed="false">
      <c r="A4" s="2" t="s">
        <v>524</v>
      </c>
      <c r="B4" s="2"/>
      <c r="C4" s="2"/>
      <c r="D4" s="2"/>
      <c r="E4" s="2"/>
      <c r="F4" s="2"/>
      <c r="G4" s="2"/>
      <c r="H4" s="2"/>
      <c r="I4" s="2"/>
      <c r="J4" s="2"/>
    </row>
    <row r="5" customFormat="false" ht="33.75" hidden="false" customHeight="true" outlineLevel="0" collapsed="false">
      <c r="A5" s="2" t="s">
        <v>525</v>
      </c>
      <c r="B5" s="2"/>
      <c r="C5" s="2"/>
      <c r="D5" s="2"/>
      <c r="E5" s="2"/>
      <c r="F5" s="2"/>
      <c r="G5" s="2"/>
      <c r="H5" s="2"/>
      <c r="I5" s="2"/>
      <c r="J5" s="2"/>
    </row>
    <row r="6" customFormat="false" ht="33.75" hidden="false" customHeight="true" outlineLevel="0" collapsed="false">
      <c r="A6" s="2" t="s">
        <v>526</v>
      </c>
      <c r="B6" s="2"/>
      <c r="C6" s="2"/>
      <c r="D6" s="2"/>
      <c r="E6" s="2"/>
      <c r="F6" s="2"/>
      <c r="G6" s="2"/>
      <c r="H6" s="2"/>
      <c r="I6" s="2"/>
      <c r="J6" s="2"/>
    </row>
    <row r="7" customFormat="false" ht="33.75" hidden="false" customHeight="true" outlineLevel="0" collapsed="false">
      <c r="A7" s="2" t="s">
        <v>527</v>
      </c>
      <c r="B7" s="2"/>
      <c r="C7" s="2"/>
      <c r="D7" s="2"/>
      <c r="E7" s="2"/>
      <c r="F7" s="2"/>
      <c r="G7" s="2"/>
      <c r="H7" s="2"/>
      <c r="I7" s="2"/>
      <c r="J7" s="2"/>
    </row>
    <row r="8" customFormat="false" ht="33.75" hidden="false" customHeight="true" outlineLevel="0" collapsed="false">
      <c r="A8" s="2" t="s">
        <v>528</v>
      </c>
      <c r="B8" s="2"/>
      <c r="C8" s="2"/>
      <c r="D8" s="2"/>
      <c r="E8" s="2"/>
      <c r="F8" s="2"/>
      <c r="G8" s="2"/>
      <c r="H8" s="2"/>
      <c r="I8" s="2"/>
      <c r="J8" s="2"/>
    </row>
    <row r="9" customFormat="false" ht="33.75" hidden="false" customHeight="true" outlineLevel="0" collapsed="false">
      <c r="A9" s="2" t="s">
        <v>529</v>
      </c>
      <c r="B9" s="2"/>
      <c r="C9" s="2"/>
      <c r="D9" s="2"/>
      <c r="E9" s="2"/>
      <c r="F9" s="2"/>
      <c r="G9" s="2"/>
      <c r="H9" s="2"/>
      <c r="I9" s="2"/>
      <c r="J9" s="2"/>
    </row>
    <row r="10" customFormat="false" ht="33.75" hidden="false" customHeight="true" outlineLevel="0" collapsed="false">
      <c r="A10" s="2" t="s">
        <v>530</v>
      </c>
      <c r="B10" s="2"/>
      <c r="C10" s="2"/>
      <c r="D10" s="2"/>
      <c r="E10" s="2"/>
      <c r="F10" s="2"/>
      <c r="G10" s="2"/>
      <c r="H10" s="2"/>
      <c r="I10" s="2"/>
      <c r="J10" s="2"/>
    </row>
  </sheetData>
  <mergeCells count="8">
    <mergeCell ref="A3:J3"/>
    <mergeCell ref="A4:J4"/>
    <mergeCell ref="A5:J5"/>
    <mergeCell ref="A6:J6"/>
    <mergeCell ref="A7:J7"/>
    <mergeCell ref="A8:J8"/>
    <mergeCell ref="A9:J9"/>
    <mergeCell ref="A10:J1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18"/>
    <col collapsed="false" customWidth="true" hidden="false" outlineLevel="0" max="3" min="3" style="0" width="9"/>
    <col collapsed="false" customWidth="true" hidden="false" outlineLevel="0" max="4" min="4" style="0" width="55"/>
    <col collapsed="false" customWidth="true" hidden="false" outlineLevel="0" max="5" min="5" style="0" width="9"/>
    <col collapsed="false" customWidth="true" hidden="false" outlineLevel="0" max="6" min="6" style="0" width="45"/>
    <col collapsed="false" customWidth="true" hidden="false" outlineLevel="0" max="8" min="7" style="0" width="28"/>
    <col collapsed="false" customWidth="true" hidden="false" outlineLevel="0" max="9" min="9" style="0" width="12"/>
    <col collapsed="false" customWidth="true" hidden="false" outlineLevel="0" max="10" min="10" style="0" width="40"/>
    <col collapsed="false" customWidth="true" hidden="false" outlineLevel="0" max="12" min="11" style="0" width="45"/>
    <col collapsed="false" customWidth="true" hidden="false" outlineLevel="0" max="13" min="13" style="0" width="70"/>
  </cols>
  <sheetData>
    <row r="1" customFormat="false" ht="17.35" hidden="false" customHeight="false" outlineLevel="0" collapsed="false">
      <c r="A1" s="1" t="s">
        <v>531</v>
      </c>
    </row>
    <row r="2" customFormat="false" ht="45" hidden="false" customHeight="true" outlineLevel="0" collapsed="false">
      <c r="A2" s="2" t="s">
        <v>532</v>
      </c>
      <c r="B2" s="2"/>
      <c r="C2" s="2"/>
      <c r="D2" s="2"/>
      <c r="E2" s="2"/>
      <c r="F2" s="2"/>
      <c r="G2" s="2"/>
      <c r="H2" s="2"/>
      <c r="I2" s="2"/>
      <c r="J2" s="2"/>
      <c r="K2" s="2"/>
      <c r="L2" s="2"/>
      <c r="M2" s="2"/>
      <c r="N2" s="2"/>
    </row>
    <row r="4" customFormat="false" ht="42" hidden="false" customHeight="true" outlineLevel="0" collapsed="false">
      <c r="A4" s="5" t="s">
        <v>58</v>
      </c>
      <c r="B4" s="5" t="s">
        <v>533</v>
      </c>
      <c r="C4" s="5" t="s">
        <v>15</v>
      </c>
      <c r="D4" s="5" t="s">
        <v>534</v>
      </c>
      <c r="E4" s="5" t="s">
        <v>16</v>
      </c>
      <c r="F4" s="5" t="s">
        <v>535</v>
      </c>
      <c r="G4" s="5" t="s">
        <v>536</v>
      </c>
      <c r="H4" s="5" t="s">
        <v>537</v>
      </c>
      <c r="I4" s="5" t="s">
        <v>538</v>
      </c>
      <c r="J4" s="5" t="s">
        <v>539</v>
      </c>
      <c r="K4" s="5" t="s">
        <v>540</v>
      </c>
      <c r="L4" s="5" t="s">
        <v>541</v>
      </c>
      <c r="M4" s="5" t="s">
        <v>542</v>
      </c>
    </row>
    <row r="5" customFormat="false" ht="150" hidden="false" customHeight="true" outlineLevel="0" collapsed="false">
      <c r="A5" s="13" t="s">
        <v>28</v>
      </c>
      <c r="B5" s="13" t="s">
        <v>543</v>
      </c>
      <c r="C5" s="26" t="n">
        <v>1</v>
      </c>
      <c r="D5" s="13" t="s">
        <v>544</v>
      </c>
      <c r="E5" s="26" t="n">
        <v>3</v>
      </c>
      <c r="F5" s="13" t="s">
        <v>545</v>
      </c>
      <c r="G5" s="13" t="s">
        <v>546</v>
      </c>
      <c r="H5" s="13" t="s">
        <v>547</v>
      </c>
      <c r="I5" s="27" t="n">
        <v>46447</v>
      </c>
      <c r="J5" s="13" t="s">
        <v>548</v>
      </c>
      <c r="K5" s="13" t="s">
        <v>549</v>
      </c>
      <c r="L5" s="13" t="s">
        <v>550</v>
      </c>
      <c r="M5" s="13" t="s">
        <v>551</v>
      </c>
    </row>
    <row r="6" customFormat="false" ht="150" hidden="false" customHeight="true" outlineLevel="0" collapsed="false">
      <c r="A6" s="13" t="s">
        <v>34</v>
      </c>
      <c r="B6" s="13" t="s">
        <v>552</v>
      </c>
      <c r="C6" s="26" t="n">
        <v>1</v>
      </c>
      <c r="D6" s="13" t="s">
        <v>553</v>
      </c>
      <c r="E6" s="26" t="n">
        <v>3</v>
      </c>
      <c r="F6" s="13" t="s">
        <v>554</v>
      </c>
      <c r="G6" s="13" t="s">
        <v>555</v>
      </c>
      <c r="H6" s="13" t="s">
        <v>556</v>
      </c>
      <c r="I6" s="27" t="n">
        <v>46568</v>
      </c>
      <c r="J6" s="13" t="s">
        <v>557</v>
      </c>
      <c r="K6" s="13" t="s">
        <v>558</v>
      </c>
      <c r="L6" s="13" t="s">
        <v>559</v>
      </c>
      <c r="M6" s="13" t="s">
        <v>560</v>
      </c>
    </row>
    <row r="7" customFormat="false" ht="150" hidden="false" customHeight="true" outlineLevel="0" collapsed="false">
      <c r="A7" s="13" t="s">
        <v>37</v>
      </c>
      <c r="B7" s="13" t="s">
        <v>561</v>
      </c>
      <c r="C7" s="26" t="n">
        <v>2</v>
      </c>
      <c r="D7" s="13" t="s">
        <v>562</v>
      </c>
      <c r="E7" s="26" t="n">
        <v>3</v>
      </c>
      <c r="F7" s="13" t="s">
        <v>563</v>
      </c>
      <c r="G7" s="13" t="s">
        <v>564</v>
      </c>
      <c r="H7" s="13" t="s">
        <v>565</v>
      </c>
      <c r="I7" s="27" t="n">
        <v>46387</v>
      </c>
      <c r="J7" s="13" t="s">
        <v>566</v>
      </c>
      <c r="K7" s="13" t="s">
        <v>567</v>
      </c>
      <c r="L7" s="13" t="s">
        <v>568</v>
      </c>
      <c r="M7" s="13" t="s">
        <v>569</v>
      </c>
    </row>
    <row r="8" customFormat="false" ht="150" hidden="false" customHeight="true" outlineLevel="0" collapsed="false">
      <c r="A8" s="13" t="s">
        <v>40</v>
      </c>
      <c r="B8" s="13" t="s">
        <v>570</v>
      </c>
      <c r="C8" s="26" t="n">
        <v>1</v>
      </c>
      <c r="D8" s="13" t="s">
        <v>571</v>
      </c>
      <c r="E8" s="26" t="n">
        <v>5</v>
      </c>
      <c r="F8" s="13" t="s">
        <v>572</v>
      </c>
      <c r="G8" s="13" t="s">
        <v>573</v>
      </c>
      <c r="H8" s="13" t="s">
        <v>574</v>
      </c>
      <c r="I8" s="27" t="n">
        <v>46387</v>
      </c>
      <c r="J8" s="13" t="s">
        <v>575</v>
      </c>
      <c r="K8" s="13" t="s">
        <v>576</v>
      </c>
      <c r="L8" s="13" t="s">
        <v>577</v>
      </c>
      <c r="M8" s="13" t="s">
        <v>578</v>
      </c>
    </row>
    <row r="9" customFormat="false" ht="150" hidden="false" customHeight="true" outlineLevel="0" collapsed="false">
      <c r="A9" s="13" t="s">
        <v>43</v>
      </c>
      <c r="B9" s="13" t="s">
        <v>579</v>
      </c>
      <c r="C9" s="26" t="n">
        <v>1</v>
      </c>
      <c r="D9" s="13" t="s">
        <v>580</v>
      </c>
      <c r="E9" s="26" t="n">
        <v>3</v>
      </c>
      <c r="F9" s="13" t="s">
        <v>581</v>
      </c>
      <c r="G9" s="13" t="s">
        <v>582</v>
      </c>
      <c r="H9" s="13" t="s">
        <v>583</v>
      </c>
      <c r="I9" s="27" t="n">
        <v>46568</v>
      </c>
      <c r="J9" s="13" t="s">
        <v>584</v>
      </c>
      <c r="K9" s="13" t="s">
        <v>558</v>
      </c>
      <c r="L9" s="13" t="s">
        <v>585</v>
      </c>
      <c r="M9" s="13" t="s">
        <v>586</v>
      </c>
    </row>
    <row r="10" customFormat="false" ht="150" hidden="false" customHeight="true" outlineLevel="0" collapsed="false">
      <c r="A10" s="13" t="s">
        <v>587</v>
      </c>
      <c r="B10" s="13" t="s">
        <v>588</v>
      </c>
      <c r="C10" s="26" t="n">
        <v>3</v>
      </c>
      <c r="D10" s="13" t="s">
        <v>589</v>
      </c>
      <c r="E10" s="26" t="n">
        <v>5</v>
      </c>
      <c r="F10" s="13" t="s">
        <v>590</v>
      </c>
      <c r="G10" s="13" t="s">
        <v>591</v>
      </c>
      <c r="H10" s="13" t="s">
        <v>583</v>
      </c>
      <c r="I10" s="27" t="n">
        <v>46568</v>
      </c>
      <c r="J10" s="13" t="s">
        <v>592</v>
      </c>
      <c r="K10" s="13" t="s">
        <v>558</v>
      </c>
      <c r="L10" s="13" t="s">
        <v>593</v>
      </c>
      <c r="M10" s="13" t="s">
        <v>594</v>
      </c>
    </row>
    <row r="11" customFormat="false" ht="150" hidden="false" customHeight="true" outlineLevel="0" collapsed="false">
      <c r="A11" s="13" t="s">
        <v>45</v>
      </c>
      <c r="B11" s="13" t="s">
        <v>595</v>
      </c>
      <c r="C11" s="26"/>
      <c r="D11" s="13" t="s">
        <v>596</v>
      </c>
      <c r="E11" s="26"/>
      <c r="F11" s="13" t="s">
        <v>597</v>
      </c>
      <c r="G11" s="13"/>
      <c r="H11" s="13"/>
      <c r="I11" s="26"/>
      <c r="J11" s="13"/>
      <c r="K11" s="13"/>
      <c r="L11" s="13" t="s">
        <v>597</v>
      </c>
      <c r="M11" s="13"/>
    </row>
    <row r="13" customFormat="false" ht="45" hidden="false" customHeight="true" outlineLevel="0" collapsed="false">
      <c r="A13" s="2" t="s">
        <v>598</v>
      </c>
      <c r="B13" s="2"/>
      <c r="C13" s="2"/>
      <c r="D13" s="2"/>
      <c r="E13" s="2"/>
      <c r="F13" s="2"/>
      <c r="G13" s="2"/>
      <c r="H13" s="2"/>
      <c r="I13" s="2"/>
      <c r="J13" s="2"/>
      <c r="K13" s="2"/>
      <c r="L13" s="2"/>
      <c r="M13" s="2"/>
      <c r="N13" s="2"/>
    </row>
    <row r="14" customFormat="false" ht="39.75" hidden="false" customHeight="true" outlineLevel="0" collapsed="false">
      <c r="A14" s="2" t="s">
        <v>599</v>
      </c>
      <c r="B14" s="2"/>
      <c r="C14" s="2"/>
      <c r="D14" s="2"/>
      <c r="E14" s="2"/>
      <c r="F14" s="2"/>
      <c r="G14" s="2"/>
      <c r="H14" s="2"/>
      <c r="I14" s="2"/>
      <c r="J14" s="2"/>
      <c r="K14" s="2"/>
      <c r="L14" s="2"/>
      <c r="M14" s="2"/>
      <c r="N14" s="2"/>
    </row>
  </sheetData>
  <mergeCells count="3">
    <mergeCell ref="A2:N2"/>
    <mergeCell ref="A13:N13"/>
    <mergeCell ref="A14:N1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2026-10-06T15:29:58Z</dcterms:created>
  <dc:creator>openpyxl</dc:creator>
  <dc:description/>
  <dc:language>en-US</dc:language>
  <cp:lastModifiedBy/>
  <dcterms:modified xsi:type="dcterms:W3CDTF">2026-10-06T15:29:59Z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